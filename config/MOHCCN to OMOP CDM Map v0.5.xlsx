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30148E7A-007F-4E1C-8577-4ACD0A38CFD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ransformation Mode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91" i="1" l="1"/>
  <c r="I574" i="1"/>
  <c r="I571" i="1"/>
  <c r="I512" i="1"/>
  <c r="I511" i="1"/>
  <c r="I507" i="1"/>
  <c r="I501" i="1"/>
  <c r="I495" i="1"/>
  <c r="I485" i="1"/>
  <c r="I484" i="1"/>
  <c r="I480" i="1"/>
  <c r="I474" i="1"/>
  <c r="I468" i="1"/>
  <c r="I455" i="1"/>
  <c r="I449" i="1"/>
  <c r="I443" i="1"/>
  <c r="I429" i="1"/>
  <c r="I428" i="1"/>
  <c r="I426" i="1"/>
  <c r="I425" i="1"/>
  <c r="I421" i="1"/>
  <c r="I414" i="1"/>
  <c r="I407" i="1"/>
  <c r="I398" i="1"/>
  <c r="I391" i="1"/>
  <c r="I356" i="1"/>
  <c r="I349" i="1"/>
  <c r="I342" i="1"/>
  <c r="I335" i="1"/>
  <c r="I328" i="1"/>
  <c r="I321" i="1"/>
  <c r="I314" i="1"/>
  <c r="I307" i="1"/>
  <c r="I300" i="1"/>
  <c r="I295" i="1"/>
  <c r="I294" i="1"/>
  <c r="I288" i="1"/>
  <c r="I287" i="1"/>
  <c r="I286" i="1"/>
  <c r="I278" i="1"/>
  <c r="I277" i="1"/>
  <c r="I268" i="1"/>
  <c r="I262" i="1"/>
  <c r="I255" i="1"/>
  <c r="I250" i="1"/>
  <c r="I249" i="1"/>
  <c r="I241" i="1"/>
  <c r="I240" i="1"/>
  <c r="I232" i="1"/>
  <c r="I231" i="1"/>
  <c r="I221" i="1"/>
  <c r="I220" i="1"/>
  <c r="I209" i="1"/>
  <c r="I208" i="1"/>
  <c r="I201" i="1"/>
  <c r="I200" i="1"/>
  <c r="I192" i="1"/>
  <c r="I191" i="1"/>
  <c r="I181" i="1"/>
  <c r="I172" i="1"/>
  <c r="I167" i="1"/>
  <c r="I166" i="1"/>
  <c r="I150" i="1"/>
  <c r="I143" i="1"/>
  <c r="I136" i="1"/>
  <c r="I129" i="1"/>
  <c r="I120" i="1"/>
  <c r="I113" i="1"/>
  <c r="I106" i="1"/>
  <c r="I99" i="1"/>
  <c r="I94" i="1"/>
  <c r="I85" i="1"/>
  <c r="I78" i="1"/>
  <c r="I73" i="1"/>
  <c r="I72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</calcChain>
</file>

<file path=xl/sharedStrings.xml><?xml version="1.0" encoding="utf-8"?>
<sst xmlns="http://schemas.openxmlformats.org/spreadsheetml/2006/main" count="3534" uniqueCount="649">
  <si>
    <t>Source JSON Level</t>
  </si>
  <si>
    <t>DHDP Data Group</t>
  </si>
  <si>
    <t>DHDP Data Catalog Identifier</t>
  </si>
  <si>
    <t>OMOP Table</t>
  </si>
  <si>
    <t>Target Field</t>
  </si>
  <si>
    <t>Instruction</t>
  </si>
  <si>
    <t>MOHCCN Source Schema</t>
  </si>
  <si>
    <t>Source Field</t>
  </si>
  <si>
    <t>Value</t>
  </si>
  <si>
    <t>Vocab</t>
  </si>
  <si>
    <t>Requirement Rule</t>
  </si>
  <si>
    <t>Description</t>
  </si>
  <si>
    <t>$</t>
  </si>
  <si>
    <t>Default Values</t>
  </si>
  <si>
    <t>observation</t>
  </si>
  <si>
    <t>observation_type_concept_id</t>
  </si>
  <si>
    <t>Fixed Value</t>
  </si>
  <si>
    <t>N/A</t>
  </si>
  <si>
    <t>Type Concept</t>
  </si>
  <si>
    <t>Registry</t>
  </si>
  <si>
    <t>observation_date</t>
  </si>
  <si>
    <t>Copy Value</t>
  </si>
  <si>
    <t>{missing_date_value}</t>
  </si>
  <si>
    <t>episode</t>
  </si>
  <si>
    <t>episode_type_concept_id</t>
  </si>
  <si>
    <t>specimen</t>
  </si>
  <si>
    <t>specimen_type_concept_id</t>
  </si>
  <si>
    <t>visit_occurrence</t>
  </si>
  <si>
    <t>visit_type_concept_id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</si>
  <si>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</si>
  <si>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</si>
  <si>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</si>
  <si>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</si>
  <si>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</si>
  <si>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</si>
  <si>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</si>
  <si>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death</t>
  </si>
  <si>
    <t>person_id</t>
  </si>
  <si>
    <t>Get Unique ID</t>
  </si>
  <si>
    <t>Donor</t>
  </si>
  <si>
    <t>submitter_donor_id</t>
  </si>
  <si>
    <t>Skip Record</t>
  </si>
  <si>
    <t>drug_exposure</t>
  </si>
  <si>
    <t>measurement_event_id</t>
  </si>
  <si>
    <t>Get Unique ID (No Global Vars)</t>
  </si>
  <si>
    <t>Specimen</t>
  </si>
  <si>
    <t>submitter_specimen_id</t>
  </si>
  <si>
    <t>Primary Diagnosis</t>
  </si>
  <si>
    <t>submitter_primary_diagnosis_id</t>
  </si>
  <si>
    <t>Treatment</t>
  </si>
  <si>
    <t>submitter_treatment_id</t>
  </si>
  <si>
    <t>Follow Up</t>
  </si>
  <si>
    <t>submitter_follow_up_id</t>
  </si>
  <si>
    <t>meas_event_field_concept_id</t>
  </si>
  <si>
    <t>Fixed Value If Not Empty</t>
  </si>
  <si>
    <t>1147049</t>
  </si>
  <si>
    <t>CDM</t>
  </si>
  <si>
    <t>specimen.specimen_id</t>
  </si>
  <si>
    <t>798885</t>
  </si>
  <si>
    <t>episode.episode_id</t>
  </si>
  <si>
    <t>1147070</t>
  </si>
  <si>
    <t>visit_occurrence.visit_occurrence_id</t>
  </si>
  <si>
    <t>$.donors[]</t>
  </si>
  <si>
    <t>Global Variables</t>
  </si>
  <si>
    <t>_global_vars</t>
  </si>
  <si>
    <t>Reset Global Vars</t>
  </si>
  <si>
    <t>{source_id}</t>
  </si>
  <si>
    <t>SITE_{siteId}</t>
  </si>
  <si>
    <t>{fixed_date}</t>
  </si>
  <si>
    <t>2000-01-01</t>
  </si>
  <si>
    <t>1800-01-01</t>
  </si>
  <si>
    <t>{missing_concept_id_value}</t>
  </si>
  <si>
    <t>{missing_string_value}</t>
  </si>
  <si>
    <t>(Missing value)</t>
  </si>
  <si>
    <t>CanDIG Dataset Definition</t>
  </si>
  <si>
    <t>Save To Global Vars</t>
  </si>
  <si>
    <t>date_resolution</t>
  </si>
  <si>
    <t>program_id</t>
  </si>
  <si>
    <t>date_of_birth</t>
  </si>
  <si>
    <t>dataset</t>
  </si>
  <si>
    <t>id</t>
  </si>
  <si>
    <t>{source_id}~{Donor.program_id}</t>
  </si>
  <si>
    <t>OMOP Patient Person</t>
  </si>
  <si>
    <t>person</t>
  </si>
  <si>
    <t>Generate Unique ID</t>
  </si>
  <si>
    <t>person_source_value</t>
  </si>
  <si>
    <t>{source_id}~{Donor.program_id}~{Donor.submitter_donor_id}</t>
  </si>
  <si>
    <t>Patient - Sex At Birth (Code)</t>
  </si>
  <si>
    <t>gender_concept_id</t>
  </si>
  <si>
    <t>Concept ID By Term</t>
  </si>
  <si>
    <t>sex_at_birth</t>
  </si>
  <si>
    <t>Gender</t>
  </si>
  <si>
    <t>Placeholder:{missing_concept_id_value}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</si>
  <si>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</si>
  <si>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</si>
  <si>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</si>
  <si>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</si>
  <si>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</si>
  <si>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</si>
  <si>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Placeholder:1800</t>
  </si>
  <si>
    <t>Patient - Birth Month</t>
  </si>
  <si>
    <t>month_of_birth</t>
  </si>
  <si>
    <t>Calculate Month From Interval</t>
  </si>
  <si>
    <t>Placeholder:1</t>
  </si>
  <si>
    <t>Patient - Birth Day</t>
  </si>
  <si>
    <t>day_of_birth</t>
  </si>
  <si>
    <t>Calculate Day From Interval</t>
  </si>
  <si>
    <t>race_concept_id</t>
  </si>
  <si>
    <t>ethnicity_concept_id</t>
  </si>
  <si>
    <t>OMOP Gender Identity Observation</t>
  </si>
  <si>
    <t>observation_id</t>
  </si>
  <si>
    <t>observation_concept_id</t>
  </si>
  <si>
    <t>SNOMED</t>
  </si>
  <si>
    <t>Gender identity</t>
  </si>
  <si>
    <t>Patient - Gender Identity (Code)</t>
  </si>
  <si>
    <t>value_as_concept_id</t>
  </si>
  <si>
    <t>gender</t>
  </si>
  <si>
    <t>Patient - Gender Identity (Text From Source)</t>
  </si>
  <si>
    <t>value_source_value</t>
  </si>
  <si>
    <t>OMOP Patient Death</t>
  </si>
  <si>
    <t>death_type_concept_id</t>
  </si>
  <si>
    <t>Patient Death - Date Of Death</t>
  </si>
  <si>
    <t>death_date</t>
  </si>
  <si>
    <t>Calculate Date From Interval</t>
  </si>
  <si>
    <t>date_of_death</t>
  </si>
  <si>
    <t>Placeholder:{missing_date_value}</t>
  </si>
  <si>
    <t>Patient Death - Cause Of Death (Code)</t>
  </si>
  <si>
    <t>cause_concept_id</t>
  </si>
  <si>
    <t>cause_of_death</t>
  </si>
  <si>
    <t>Patient Death - Cause Of Death (Text From Source)</t>
  </si>
  <si>
    <t>cause_source_value</t>
  </si>
  <si>
    <t>MOHCCN Donor Incomplete Modeling</t>
  </si>
  <si>
    <t>?</t>
  </si>
  <si>
    <t>lost_to_followup_after_clinical_event_identifier</t>
  </si>
  <si>
    <t>lost_to_followup_reason</t>
  </si>
  <si>
    <t>date_alive_after_lost_to_followup</t>
  </si>
  <si>
    <t>$.donors[].primary_diagnoses[]</t>
  </si>
  <si>
    <t>OMOP Primary Dx Condition</t>
  </si>
  <si>
    <t>condition_occurrence_id</t>
  </si>
  <si>
    <t>Primary Diagnosis - Condition (Code)</t>
  </si>
  <si>
    <t>condition_concept_id</t>
  </si>
  <si>
    <t>Concept ID By Code</t>
  </si>
  <si>
    <t>cancer_type_code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</si>
  <si>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</si>
  <si>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</si>
  <si>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</si>
  <si>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</si>
  <si>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</si>
  <si>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date_of_diagnosis</t>
  </si>
  <si>
    <t>condition_status_concept_id</t>
  </si>
  <si>
    <t>Condition Status</t>
  </si>
  <si>
    <t>OMOP Primary Dx Episode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</si>
  <si>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</si>
  <si>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</si>
  <si>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</si>
  <si>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</si>
  <si>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</si>
  <si>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</si>
  <si>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</si>
  <si>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</si>
  <si>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</si>
  <si>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</si>
  <si>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OMOP Primary Dx Episode / Condition Event</t>
  </si>
  <si>
    <t>episode_event</t>
  </si>
  <si>
    <t>event_id</t>
  </si>
  <si>
    <t>episode_event_field_concept_id</t>
  </si>
  <si>
    <t>condition_occurrence.condition_occurrence_id</t>
  </si>
  <si>
    <t>OMOP Primary Dx Initial Diagnosis Measurement</t>
  </si>
  <si>
    <t>measurement_id</t>
  </si>
  <si>
    <t>measurement_concept_id</t>
  </si>
  <si>
    <t>Cancer Modifier</t>
  </si>
  <si>
    <t>Initial Diagnosis</t>
  </si>
  <si>
    <t>Primary Diagnosis - Basis of Diagnosis (Code)</t>
  </si>
  <si>
    <t>basis_of_diagnosis</t>
  </si>
  <si>
    <t>Primary Diagnosis - Basis of Diagnosis (Text)</t>
  </si>
  <si>
    <t>OMOP Primary Dx Laterality Measurement</t>
  </si>
  <si>
    <t>35918306</t>
  </si>
  <si>
    <t>NAACCR</t>
  </si>
  <si>
    <t>Laterality</t>
  </si>
  <si>
    <t>Primary Diagnosis - Disease Laterality (Code)</t>
  </si>
  <si>
    <t>laterality</t>
  </si>
  <si>
    <t>Primary Diagnosis - Disease Laterality (Text From Source)</t>
  </si>
  <si>
    <t>OMOP Primary Dx Site Observation</t>
  </si>
  <si>
    <t>3011717</t>
  </si>
  <si>
    <t>LOINC</t>
  </si>
  <si>
    <t>Primary site Cancer</t>
  </si>
  <si>
    <t>Primary Diagnosis - Primary Site (Code)</t>
  </si>
  <si>
    <t>primary_site</t>
  </si>
  <si>
    <t>Primary Diagnosis - Primary Site (Text From Source)</t>
  </si>
  <si>
    <t>observation_event_id</t>
  </si>
  <si>
    <t>obs_event_field_concept_id</t>
  </si>
  <si>
    <t>OMOP TNM Clin T Stage Measurement</t>
  </si>
  <si>
    <t>4164336</t>
  </si>
  <si>
    <t>Clinical T category</t>
  </si>
  <si>
    <t>Primary Diagnosis - Clinical TNM T Stage (Code)</t>
  </si>
  <si>
    <t>clinical_t_category</t>
  </si>
  <si>
    <t>Primary Diagnosis - Clinical TNM T Stage (Text From Source)</t>
  </si>
  <si>
    <t>OMOP TNM Clin N Stage Measurement</t>
  </si>
  <si>
    <t>4164466</t>
  </si>
  <si>
    <t>Clinical N category</t>
  </si>
  <si>
    <t>Primary Diagnosis - Clinical TNM N Stage (Code)</t>
  </si>
  <si>
    <t>clinical_n_category</t>
  </si>
  <si>
    <t>Primary Diagnosis - Clinical TNM N Stage (Text From Source)</t>
  </si>
  <si>
    <t>OMOP TNM Clin M Stage Measurement</t>
  </si>
  <si>
    <t>4164182</t>
  </si>
  <si>
    <t>Clinical M category</t>
  </si>
  <si>
    <t>Primary Diagnosis - Clinical TNM M Stage (Code)</t>
  </si>
  <si>
    <t>clinical_m_category</t>
  </si>
  <si>
    <t>Primary Diagnosis - Clinical TNM M Stage (Text From Source)</t>
  </si>
  <si>
    <t>OMOP Clinical Stage Observation</t>
  </si>
  <si>
    <t>Primary Diagnosis - Clinical Staging System (Code)</t>
  </si>
  <si>
    <t>4295636</t>
  </si>
  <si>
    <t>Clinical stage</t>
  </si>
  <si>
    <t>Primary Diagnosis - Clinical Stage Group (Code)</t>
  </si>
  <si>
    <t>clinical_stage_group</t>
  </si>
  <si>
    <t>Primary Diagnosis - Clinical Stage Group (Text From Source)</t>
  </si>
  <si>
    <t>qualifier_concept_id</t>
  </si>
  <si>
    <t>clinical_tumour_staging_system</t>
  </si>
  <si>
    <t>Primary Diagnosis - Clinical Staging System (Text From Source)</t>
  </si>
  <si>
    <t>qualifier_source_value</t>
  </si>
  <si>
    <t>OMOP TNM Path T Stage Measurement</t>
  </si>
  <si>
    <t>4293617</t>
  </si>
  <si>
    <t>Pathologic T category</t>
  </si>
  <si>
    <t>Primary Diagnosis - Pathological TNM T Stage (Code)</t>
  </si>
  <si>
    <t>pathological_t_category</t>
  </si>
  <si>
    <t>Primary Diagnosis - Pathological TNM T Stage (Text From Source)</t>
  </si>
  <si>
    <t>OMOP TNM Path N Stage Measurement</t>
  </si>
  <si>
    <t>4161174</t>
  </si>
  <si>
    <t>Pathologic N category</t>
  </si>
  <si>
    <t>Primary Diagnosis - Pathological TNM N Stage (Code)</t>
  </si>
  <si>
    <t>pathological_n_category</t>
  </si>
  <si>
    <t>Primary Diagnosis - Pathological TNM N Stage (Text From Source)</t>
  </si>
  <si>
    <t>OMOP TNM Path M Stage Measurement</t>
  </si>
  <si>
    <t>4154262</t>
  </si>
  <si>
    <t>Pathologic M category</t>
  </si>
  <si>
    <t>Primary Diagnosis - Pathological TNM M Stage (Code)</t>
  </si>
  <si>
    <t>pathological_m_category</t>
  </si>
  <si>
    <t>Primary Diagnosis - Pathological TNM M Stage (Text From Source)</t>
  </si>
  <si>
    <t>OMOP Pathological Stage Observation</t>
  </si>
  <si>
    <t>4226407</t>
  </si>
  <si>
    <t>Pathologic stage</t>
  </si>
  <si>
    <t>Primary Diagnosis - Pathological Staging Group (Code)</t>
  </si>
  <si>
    <t>pathological_stage_group</t>
  </si>
  <si>
    <t>Primary Diagnosis - Pathological Staging Group (Text From Source)</t>
  </si>
  <si>
    <t>Primary Diagnosis - Pathological Staging System (Code)</t>
  </si>
  <si>
    <t>pathological_tumour_staging_system</t>
  </si>
  <si>
    <t>Primary Diagnosis - Pathological Staging System (Text From Source)</t>
  </si>
  <si>
    <t>$.donors[].primary_diagnoses[].treatments[]</t>
  </si>
  <si>
    <t>OMOP Treatment Episode</t>
  </si>
  <si>
    <t>treatment_start_date</t>
  </si>
  <si>
    <t>status_of_treatment</t>
  </si>
  <si>
    <t>32531</t>
  </si>
  <si>
    <t>Treatment Regimen</t>
  </si>
  <si>
    <t>Cancer Treatment - Treatment Start Date</t>
  </si>
  <si>
    <t>Cancer Treatment - Treatment End Date</t>
  </si>
  <si>
    <t>treatment_end_date</t>
  </si>
  <si>
    <t>Cancer Treatment - Is Primary Treatment</t>
  </si>
  <si>
    <t>is_primary_treatment</t>
  </si>
  <si>
    <t>OMOP Treatment Episode / Primary Condition Event</t>
  </si>
  <si>
    <t>OMOP Treatment Episode Intent Observation</t>
  </si>
  <si>
    <t>4133895</t>
  </si>
  <si>
    <t>Therapeutic intent</t>
  </si>
  <si>
    <t>Cancer Treatment - Treatment Intent (Code)</t>
  </si>
  <si>
    <t>treatment_intent</t>
  </si>
  <si>
    <t>Cancer Treatment - Treatment Intent (Text From Source)</t>
  </si>
  <si>
    <t>OMOP Treatment Episode Response Observation</t>
  </si>
  <si>
    <t>4082405</t>
  </si>
  <si>
    <t>Response to treatment</t>
  </si>
  <si>
    <t>Cancer Treatment - Response To Treatment (Code)</t>
  </si>
  <si>
    <t>response_to_treatment</t>
  </si>
  <si>
    <t>Cancer Treatment - Response To Treatment (Text From Source)</t>
  </si>
  <si>
    <t>Cancer Treatment - Response To Treatment Criteria Method (Code)</t>
  </si>
  <si>
    <t>response_to_treatment_criteria_method</t>
  </si>
  <si>
    <t>Cancer Treatment - Response To Treatment Criteria Method (Text From Source)</t>
  </si>
  <si>
    <t>$.donors[].primary_diagnoses[].treatments[].treatment_type[]</t>
  </si>
  <si>
    <t>OMOP Treatment Episode Procedure Occurrence</t>
  </si>
  <si>
    <t>procedure_occurrence_id</t>
  </si>
  <si>
    <t>Generate Unique ID From Path</t>
  </si>
  <si>
    <t>procedure_concept_id</t>
  </si>
  <si>
    <t>Concept ID By Node</t>
  </si>
  <si>
    <t>treatment_type</t>
  </si>
  <si>
    <t>Cancer Treatment - Treatment Type (Text From Source)</t>
  </si>
  <si>
    <t>procedure_source_value</t>
  </si>
  <si>
    <t>Copy Node</t>
  </si>
  <si>
    <t>procedure_date</t>
  </si>
  <si>
    <t>{Treatment.treatment_start_date}</t>
  </si>
  <si>
    <t>Cancer Treatment - Treatment Status (Code)</t>
  </si>
  <si>
    <t>modifier_concept_id</t>
  </si>
  <si>
    <t>{Treatment.status_of_treatment}</t>
  </si>
  <si>
    <t>Cancer Treatment - Treatment Status (Text From Source)</t>
  </si>
  <si>
    <t>modifier_source_value</t>
  </si>
  <si>
    <t>OMOP Treatment Episode / Procedure Occurrence Event</t>
  </si>
  <si>
    <t>Get Unique ID From Path</t>
  </si>
  <si>
    <t>1147082</t>
  </si>
  <si>
    <t>procedure_occurrence.procedure_occurrence_id</t>
  </si>
  <si>
    <t>$.donors[].primary_diagnoses[].treatments[].systemic_therapies[]</t>
  </si>
  <si>
    <t>OMOP Systemic Therapy Episode</t>
  </si>
  <si>
    <t>32941</t>
  </si>
  <si>
    <t>Cancer Drug Treatment</t>
  </si>
  <si>
    <t>Systemic Therapy</t>
  </si>
  <si>
    <t>systemic_therapy_type</t>
  </si>
  <si>
    <t>start_date</t>
  </si>
  <si>
    <t>end_date</t>
  </si>
  <si>
    <t>OMOP Treatment Episode / Systemic Therapy Episode Event</t>
  </si>
  <si>
    <t>OMOP Systemic Therapy Procedure</t>
  </si>
  <si>
    <t>Systemic Therapy - Treatment Type (Code)</t>
  </si>
  <si>
    <t>Systemic Therapy - Treatment Type (Text From Source)</t>
  </si>
  <si>
    <t>Systemic Therapy - Number Of Cycles</t>
  </si>
  <si>
    <t>quantity</t>
  </si>
  <si>
    <t>number_of_cycles</t>
  </si>
  <si>
    <t>OMOP Systemic Therapy Episode / Procedure Event</t>
  </si>
  <si>
    <t>OMOP Systemic Therapy Dose Given Drug Exposure</t>
  </si>
  <si>
    <t>{Systemic Therapy.drug_reference_database}</t>
  </si>
  <si>
    <t>drug_reference_database</t>
  </si>
  <si>
    <t>Placeholder String</t>
  </si>
  <si>
    <t>drug_exposure_id</t>
  </si>
  <si>
    <t>drug_type_concept_id</t>
  </si>
  <si>
    <t>32833</t>
  </si>
  <si>
    <t>EHR order</t>
  </si>
  <si>
    <t>drug_concept_id</t>
  </si>
  <si>
    <t>drug_reference_identifier</t>
  </si>
  <si>
    <t>Systemic Therapy - Drug Reference Database / 
Systemic Therapy - Drug Reference Identifier /
Systemic Therapy - Drug Name</t>
  </si>
  <si>
    <t>drug_source_value</t>
  </si>
  <si>
    <t>Concatenate Values</t>
  </si>
  <si>
    <t>drug_reference_database, drug_reference_identifier, drug_name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</si>
  <si>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</si>
  <si>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</si>
  <si>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</si>
  <si>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</si>
  <si>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</si>
  <si>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</si>
  <si>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drug_dose_units</t>
  </si>
  <si>
    <t>Systemic Therapy - Actual Cumulative Dose</t>
  </si>
  <si>
    <t>actual_cumulative_drug_dose</t>
  </si>
  <si>
    <t>OMOP Systemic Therapy Episode / Dose Given Drug Exposure Event</t>
  </si>
  <si>
    <t>1147094</t>
  </si>
  <si>
    <t>drug_exposure.drug_exposure_id</t>
  </si>
  <si>
    <t>OMOP Systemic Therapy Dose Prescribed Drug Exposure</t>
  </si>
  <si>
    <t>32838</t>
  </si>
  <si>
    <t>EHR prescription</t>
  </si>
  <si>
    <t>Systemic Therapy - Prescribed Cumulative Dose</t>
  </si>
  <si>
    <t>prescribed_cumulative_drug_dose</t>
  </si>
  <si>
    <t>OMOP Systemic Therapy Episode / Dose Prescribed Drug Exposure Event</t>
  </si>
  <si>
    <t>MOHCCN Systemic Therapy Incomplete Modeling</t>
  </si>
  <si>
    <t>days_per_cycle</t>
  </si>
  <si>
    <t>$.donors[].primary_diagnoses[].treatments[].radiations[]</t>
  </si>
  <si>
    <t>OMOP Radiation Episode</t>
  </si>
  <si>
    <t>32940</t>
  </si>
  <si>
    <t>Cancer Radiotherapy</t>
  </si>
  <si>
    <t>Radiation</t>
  </si>
  <si>
    <t>radiation_therapy_modality</t>
  </si>
  <si>
    <t>OMOP Treatment Episode / Radiation Episode Event</t>
  </si>
  <si>
    <t>OMOP Radiation Procedure</t>
  </si>
  <si>
    <t>Radiation Therapy - Modality (Code)</t>
  </si>
  <si>
    <t>Radiation Therapy - Modality (Text From Source)</t>
  </si>
  <si>
    <t>Radiation Therapy - External or Internal (Code)</t>
  </si>
  <si>
    <t>radiation_therapy_type</t>
  </si>
  <si>
    <t>Radiation Therapy - External or Internal (Text From Source)</t>
  </si>
  <si>
    <t>OMOP Radiation Episode / Procedure Event</t>
  </si>
  <si>
    <t>OMOP Radiation Episode Total Dose Given Measurement</t>
  </si>
  <si>
    <t>40483776</t>
  </si>
  <si>
    <t>Total radiation dose delivered</t>
  </si>
  <si>
    <t>Radiation Therapy - Total Dose Given</t>
  </si>
  <si>
    <t>value_as_number</t>
  </si>
  <si>
    <t>radiation_therapy_dosage</t>
  </si>
  <si>
    <t>Radiation Therapy - Total Dose Given Units</t>
  </si>
  <si>
    <t>unit_concept_id</t>
  </si>
  <si>
    <t>4037797</t>
  </si>
  <si>
    <t>Gy</t>
  </si>
  <si>
    <t>OMOP Radiation Episode Total Fractions Given Measurement</t>
  </si>
  <si>
    <t>4037631</t>
  </si>
  <si>
    <t>Number of fractions</t>
  </si>
  <si>
    <t>radiation_therapy_fractions</t>
  </si>
  <si>
    <t>OMOP Radiation Episode Radiated Site Observation</t>
  </si>
  <si>
    <t>4181646</t>
  </si>
  <si>
    <t>Procedure site</t>
  </si>
  <si>
    <t>Radiation Therapy - Irradiated Site (Code)</t>
  </si>
  <si>
    <t xml:space="preserve">anatomical_site_irradiated </t>
  </si>
  <si>
    <t>Radiation Therapy - Irradiated Site (Text From Source)</t>
  </si>
  <si>
    <t>OMOP Radiation Boost Procedure</t>
  </si>
  <si>
    <t>40482853</t>
  </si>
  <si>
    <t>Radiation boost therapy</t>
  </si>
  <si>
    <t>radiation_boost</t>
  </si>
  <si>
    <t>OMOP Radiation Episode / Radiation Boost Procedure Event</t>
  </si>
  <si>
    <t>$.donors[].primary_diagnoses[].treatments[].surgeries[]</t>
  </si>
  <si>
    <t>OMOP Surgery Episode</t>
  </si>
  <si>
    <t>Surgery</t>
  </si>
  <si>
    <t>surgery_reference_database</t>
  </si>
  <si>
    <t>32939</t>
  </si>
  <si>
    <t>Cancer Surgery</t>
  </si>
  <si>
    <t>surgery_reference_identifier</t>
  </si>
  <si>
    <t>{Surgery.surgery_reference_database}</t>
  </si>
  <si>
    <t>{current_surgery_episode_id}</t>
  </si>
  <si>
    <t>OMOP Treatment Episode / Surgery Episode Event</t>
  </si>
  <si>
    <t>OMOP Surgery Procedure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</si>
  <si>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</si>
  <si>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</si>
  <si>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</si>
  <si>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OMOP Surgery Episode / Procedure Event</t>
  </si>
  <si>
    <t>OMOP Surgery Episode Tumour Length Measurement</t>
  </si>
  <si>
    <t>4156562</t>
  </si>
  <si>
    <t>Tumor size, dimension 1</t>
  </si>
  <si>
    <t>Surgery - Tumour Length</t>
  </si>
  <si>
    <t>tumour_length</t>
  </si>
  <si>
    <t>4122379</t>
  </si>
  <si>
    <t>mm</t>
  </si>
  <si>
    <t>OMOP Surgery Episode Tumour Width Measurement</t>
  </si>
  <si>
    <t>4156563</t>
  </si>
  <si>
    <t>Tumor size, dimension 2</t>
  </si>
  <si>
    <t>Surgery - Tumour Width</t>
  </si>
  <si>
    <t>tumour_width</t>
  </si>
  <si>
    <t>OMOP Surgery Episode Greatest Tumour Dimension Measurement</t>
  </si>
  <si>
    <t>4154259</t>
  </si>
  <si>
    <t>Tumor size, largest dimension</t>
  </si>
  <si>
    <t>greatest_dimension_tumour</t>
  </si>
  <si>
    <t>OMOP Surgery Episode Surgery Site Observation</t>
  </si>
  <si>
    <t>Surgery - Body Site (Code)</t>
  </si>
  <si>
    <t>surgery_site</t>
  </si>
  <si>
    <t>ICDO3</t>
  </si>
  <si>
    <t>Surgery - Body Site (Text From Source)</t>
  </si>
  <si>
    <t>OMOP Surgery Episode Surgery Tumour Focality Observation</t>
  </si>
  <si>
    <t>4244984</t>
  </si>
  <si>
    <t>Tumor focality</t>
  </si>
  <si>
    <t>Surgery - Tumour Focality (Code)</t>
  </si>
  <si>
    <t>tumour_focality</t>
  </si>
  <si>
    <t>Surgery - Tumour Focality (Text From Source)</t>
  </si>
  <si>
    <t>OMOP Surgery Episode Surgery Specimen Source Observation</t>
  </si>
  <si>
    <t>45773156</t>
  </si>
  <si>
    <t>Specimen source</t>
  </si>
  <si>
    <t>Surgery - Specimen Source (Code)</t>
  </si>
  <si>
    <t>surgery_location</t>
  </si>
  <si>
    <t>Surgery - Specimen Source (Text From Source)</t>
  </si>
  <si>
    <t>OMOP Surgery Episode Residual Tumour Classification Observation</t>
  </si>
  <si>
    <t>4077124</t>
  </si>
  <si>
    <t>Residual tumor stage</t>
  </si>
  <si>
    <t>Surgery - Residual Tumour Classification (Code)</t>
  </si>
  <si>
    <t>residual_tumour_classification</t>
  </si>
  <si>
    <t>Surgery - Residual Tumour Classification (Text From Source)</t>
  </si>
  <si>
    <t>OMOP Surgery Episode Lymphovascular Invasion Observation</t>
  </si>
  <si>
    <t>1074673</t>
  </si>
  <si>
    <t>Status of lymphovascular invasion by tumour</t>
  </si>
  <si>
    <t>Surgery - Lymphovascular Invasion (Code)</t>
  </si>
  <si>
    <t>lymphovascular_invasion</t>
  </si>
  <si>
    <t>Surgery - Lymphovascular Invasion (Text From Source)</t>
  </si>
  <si>
    <t>OMOP Surgery Episode Perineural Invasion Observation</t>
  </si>
  <si>
    <t>4161179</t>
  </si>
  <si>
    <t>Status of perineural invasion by tumour</t>
  </si>
  <si>
    <t>Surgery - Perineural Invasion (Code)</t>
  </si>
  <si>
    <t>perineural_invasion</t>
  </si>
  <si>
    <t>Surgery - Perineural Invasion (Text From Source)</t>
  </si>
  <si>
    <t>$.donors[].primary_diagnoses[].treatments[].surgeries[].margin_types_involved[]</t>
  </si>
  <si>
    <t>OMOP Surgery Episode Margin Positive Involvement Measurement</t>
  </si>
  <si>
    <r>
      <rPr>
        <sz val="10"/>
        <color theme="1"/>
        <rFont val="Aptos Narrow"/>
        <family val="2"/>
      </rPr>
      <t>measurement</t>
    </r>
    <r>
      <rPr>
        <sz val="10"/>
        <color theme="1"/>
        <rFont val="Aptos Narrow"/>
        <family val="2"/>
        <charset val="1"/>
      </rPr>
      <t>_id</t>
    </r>
  </si>
  <si>
    <r>
      <rPr>
        <sz val="10"/>
        <color theme="1"/>
        <rFont val="Aptos Narrow"/>
        <family val="2"/>
      </rPr>
      <t>measurement</t>
    </r>
    <r>
      <rPr>
        <sz val="10"/>
        <color theme="1"/>
        <rFont val="Aptos Narrow"/>
        <family val="2"/>
        <charset val="1"/>
      </rPr>
      <t>_concept_id</t>
    </r>
  </si>
  <si>
    <t>4184217</t>
  </si>
  <si>
    <t>Surgical margin involved by tumor</t>
  </si>
  <si>
    <r>
      <rPr>
        <sz val="10"/>
        <color theme="1"/>
        <rFont val="Aptos Narrow"/>
        <family val="2"/>
      </rPr>
      <t>measurement</t>
    </r>
    <r>
      <rPr>
        <sz val="10"/>
        <color theme="1"/>
        <rFont val="Aptos Narrow"/>
        <family val="2"/>
        <charset val="1"/>
      </rPr>
      <t>_date</t>
    </r>
  </si>
  <si>
    <r>
      <rPr>
        <sz val="10"/>
        <color theme="1"/>
        <rFont val="Aptos Narrow"/>
        <family val="2"/>
      </rPr>
      <t>measurement</t>
    </r>
    <r>
      <rPr>
        <sz val="10"/>
        <color theme="1"/>
        <rFont val="Aptos Narrow"/>
        <family val="2"/>
        <charset val="1"/>
      </rPr>
      <t>_event_id</t>
    </r>
  </si>
  <si>
    <t>Surgery - Margin Types Involved (Code)</t>
  </si>
  <si>
    <t>margin_types_involved</t>
  </si>
  <si>
    <t>Surgery - Margin Types Involved (Text From Source)</t>
  </si>
  <si>
    <t>$.donors[].primary_diagnoses[].treatments[].surgeries[].margin_types_not_involved[]</t>
  </si>
  <si>
    <t>OMOP Surgery Episode Margin Not Involvement Measurement</t>
  </si>
  <si>
    <t>4206020</t>
  </si>
  <si>
    <t>Surgical margin uninvolved by tumor</t>
  </si>
  <si>
    <t>Surgery - Margin Types Not Involved (Code)</t>
  </si>
  <si>
    <t>margin_types_not_involved</t>
  </si>
  <si>
    <t>Surgery - Margin Types Not Involved (Text From Source)</t>
  </si>
  <si>
    <t>$.donors[].primary_diagnoses[].treatments[].surgeries[].margin_types_not_assessed[]</t>
  </si>
  <si>
    <t>OMOP Surgery Episode Margin Not Assessed Measurement</t>
  </si>
  <si>
    <t>4217572</t>
  </si>
  <si>
    <t>Surgical margin involvement by tumor cannot be assessed</t>
  </si>
  <si>
    <t>Surgery - Margin Types Not Assessable (Code)</t>
  </si>
  <si>
    <t>margin_types_not_assessed</t>
  </si>
  <si>
    <t>Surgery - Margin Types Not Assessable (Text From Source)</t>
  </si>
  <si>
    <t>$.donors[].primary_diagnoses[].specimens[]</t>
  </si>
  <si>
    <t>OMOP Specimen</t>
  </si>
  <si>
    <t>{Specimen.submitter_specimen_id}</t>
  </si>
  <si>
    <t>specimen_id</t>
  </si>
  <si>
    <t>specimen_concept_id</t>
  </si>
  <si>
    <t>4002890</t>
  </si>
  <si>
    <t>Tissue specimen</t>
  </si>
  <si>
    <t>Specimen - Specimen Collection Date</t>
  </si>
  <si>
    <t>specimen_date</t>
  </si>
  <si>
    <t>specimen_collection_date</t>
  </si>
  <si>
    <t>Specimen - Specimen Body Site (Code)</t>
  </si>
  <si>
    <t>anatomic_site_concept_id</t>
  </si>
  <si>
    <t>specimen_anatomic_location</t>
  </si>
  <si>
    <t>Specimen - Specimen Body Site (Text From Source)</t>
  </si>
  <si>
    <t>anatomic_site_source_value</t>
  </si>
  <si>
    <t>specimen_source_id</t>
  </si>
  <si>
    <t>OMOP Specimen Tumour Morphology Observation</t>
  </si>
  <si>
    <t>36716952</t>
  </si>
  <si>
    <t>Morphology</t>
  </si>
  <si>
    <t>Specimen - Tumour Histological Type (Code)</t>
  </si>
  <si>
    <t>tumour_histological_type</t>
  </si>
  <si>
    <t>Specimen - Tumour Histological Type (Text From Source)</t>
  </si>
  <si>
    <t>OMOP Specimen Tumour Grade Observation</t>
  </si>
  <si>
    <t>4160340</t>
  </si>
  <si>
    <t>Histologic grade</t>
  </si>
  <si>
    <t>Specimen - Tumour Grade (Code)</t>
  </si>
  <si>
    <t>tumour_grade</t>
  </si>
  <si>
    <t>Specimen - Tumour Grading System (Code)</t>
  </si>
  <si>
    <t>tumour_grading_system</t>
  </si>
  <si>
    <t>OMOP Specimen Laterality Observation</t>
  </si>
  <si>
    <t>4298494</t>
  </si>
  <si>
    <t>Specimen laterality</t>
  </si>
  <si>
    <t>Specimen - Specimen Laterality  (Code)</t>
  </si>
  <si>
    <t>specimen_laterality</t>
  </si>
  <si>
    <t>Specimen - Specimen Laterality (Code)</t>
  </si>
  <si>
    <t>OMOP Specimen Processing Technique Observation</t>
  </si>
  <si>
    <t>4154128</t>
  </si>
  <si>
    <t>Specimen type</t>
  </si>
  <si>
    <t>Specimen - Specimen Processing Technique (Code)</t>
  </si>
  <si>
    <t>specimen_processing</t>
  </si>
  <si>
    <t>OMOP Specimen Storage Method Observation</t>
  </si>
  <si>
    <t>37169821</t>
  </si>
  <si>
    <t>Specimen storage</t>
  </si>
  <si>
    <t>Specimen - Specimen Storage Method (Code)</t>
  </si>
  <si>
    <t>specimen_storage</t>
  </si>
  <si>
    <t>OMOP Primary Dx Episode / Specimen Event</t>
  </si>
  <si>
    <t>OMOP Treatment Episode / Specimen Event</t>
  </si>
  <si>
    <t>MOHCCN Specimen Incomplete Modeling</t>
  </si>
  <si>
    <t>reference_pathology_confirmed_diagnosis</t>
  </si>
  <si>
    <t>reference_pathology_confirmed_tumour_presence</t>
  </si>
  <si>
    <t>percent_tumour_cells_range</t>
  </si>
  <si>
    <t>percent_tumour_cells_measurement_method</t>
  </si>
  <si>
    <t>$.donors[].followups[]</t>
  </si>
  <si>
    <t>OMOP Follow Up Visit Occurrence</t>
  </si>
  <si>
    <t>visit_occurrence_id</t>
  </si>
  <si>
    <t>visit_concept_id</t>
  </si>
  <si>
    <t>9202</t>
  </si>
  <si>
    <t>Visit</t>
  </si>
  <si>
    <t>Outpatient Visit</t>
  </si>
  <si>
    <t>visit_start_date</t>
  </si>
  <si>
    <t>date_of_followup</t>
  </si>
  <si>
    <t>visit_end_date</t>
  </si>
  <si>
    <t>OMOP Follow Up Disease Status Observation</t>
  </si>
  <si>
    <t>4203711</t>
  </si>
  <si>
    <t>Follow-up status</t>
  </si>
  <si>
    <t>date_of_relapse</t>
  </si>
  <si>
    <t>disease_status_at_followup</t>
  </si>
  <si>
    <t>OMOP Follow Up Relapse Type Observation</t>
  </si>
  <si>
    <t>4117444</t>
  </si>
  <si>
    <t>Relapse episode</t>
  </si>
  <si>
    <t>relapse_type</t>
  </si>
  <si>
    <t>OMOP Follow Up Relapse Site Observation</t>
  </si>
  <si>
    <t>3375793</t>
  </si>
  <si>
    <t>Tumour site</t>
  </si>
  <si>
    <t>anatomic_site_progression_or_recurrence</t>
  </si>
  <si>
    <t>MOHCCN Follow Up Incomplete Modeling</t>
  </si>
  <si>
    <t>method_of_progression_status</t>
  </si>
  <si>
    <t>$.donors[].primary_diagnoses[].followups[]</t>
  </si>
  <si>
    <t>OMOP Primary Dx Episode / Visit Occurrence Event</t>
  </si>
  <si>
    <t>$.donors[].primary_diagnoses[].treatments[].followups[]</t>
  </si>
  <si>
    <t>OMOP Treatment Episode / Visit Occurrence Event</t>
  </si>
  <si>
    <t>$.donors[].biomarkers[]</t>
  </si>
  <si>
    <t>OMOP PSA Biomarker Measurement</t>
  </si>
  <si>
    <t>4272032</t>
  </si>
  <si>
    <t>Prostate specific antigen measurement</t>
  </si>
  <si>
    <t>Biomarker</t>
  </si>
  <si>
    <t>test_date</t>
  </si>
  <si>
    <t>psa_level</t>
  </si>
  <si>
    <t>4120724</t>
  </si>
  <si>
    <t>ng/mL</t>
  </si>
  <si>
    <t>OMOP CA125 Biomarker Measurement</t>
  </si>
  <si>
    <t>4197913</t>
  </si>
  <si>
    <t>CA 125 measurement</t>
  </si>
  <si>
    <t>ca125</t>
  </si>
  <si>
    <t>4118305</t>
  </si>
  <si>
    <t>U/mL</t>
  </si>
  <si>
    <t>OMOP CEA Biomarker Measurement</t>
  </si>
  <si>
    <t>4244721</t>
  </si>
  <si>
    <t>Carcinoembryonic antigen measurement</t>
  </si>
  <si>
    <t>cea</t>
  </si>
  <si>
    <t>OMOP Estrogen Receptor Biomarker Measurement</t>
  </si>
  <si>
    <t>4307360</t>
  </si>
  <si>
    <t>Estrogen receptor assay</t>
  </si>
  <si>
    <t>er_status</t>
  </si>
  <si>
    <t>er_percent_positive</t>
  </si>
  <si>
    <t>4041099</t>
  </si>
  <si>
    <t>Percent</t>
  </si>
  <si>
    <t>OMOP Progesterone Receptor Biomarker Measurement</t>
  </si>
  <si>
    <t>Progesterone receptor assay measurement</t>
  </si>
  <si>
    <t>pr_status</t>
  </si>
  <si>
    <t>pr_percent_positive</t>
  </si>
  <si>
    <t>OMOP HER2 IHC Status Biomarker Measurement</t>
  </si>
  <si>
    <t>35918264</t>
  </si>
  <si>
    <t>HER2 IHC Summary</t>
  </si>
  <si>
    <t>her2_ihc_status</t>
  </si>
  <si>
    <t>OMOP HER2 ISH Status Biomarker Measurement</t>
  </si>
  <si>
    <t>35918706</t>
  </si>
  <si>
    <t>HER2 ISH Summary</t>
  </si>
  <si>
    <t>her2_ish_status</t>
  </si>
  <si>
    <t>OMOP HPV IHC Status Biomarker Observation</t>
  </si>
  <si>
    <t>45763689</t>
  </si>
  <si>
    <t>Human papillomavirus screening</t>
  </si>
  <si>
    <t>hpv_ihc_status</t>
  </si>
  <si>
    <t>45769444</t>
  </si>
  <si>
    <t>Immunohistochemistry technique</t>
  </si>
  <si>
    <t>OMOP HPV PCR Status Biomarker Observation</t>
  </si>
  <si>
    <t>hpv_pcr_status</t>
  </si>
  <si>
    <t>Polymerase chain reaction technique</t>
  </si>
  <si>
    <t>$.donors[].biomarkers[].hpv_strain[]</t>
  </si>
  <si>
    <t>OMOP HPV strain Biomarker Measurements</t>
  </si>
  <si>
    <t>Human papillomavirus typing</t>
  </si>
  <si>
    <t>Biomarker - HPV strain (Code)</t>
  </si>
  <si>
    <t>hpv_strain</t>
  </si>
  <si>
    <t>Biomarker - HPV strain (Text From Source)</t>
  </si>
  <si>
    <t>$.donors[].exposures[]</t>
  </si>
  <si>
    <t>OMOP Tobacco Smoking Status Observation</t>
  </si>
  <si>
    <t>43054909</t>
  </si>
  <si>
    <t>Tobacco smoking status</t>
  </si>
  <si>
    <t>Exposure</t>
  </si>
  <si>
    <t>tobacco_smoking_status</t>
  </si>
  <si>
    <t>{current_tobacco_status_observation_id}</t>
  </si>
  <si>
    <t>OMOP Cigarette Pack Years Observation</t>
  </si>
  <si>
    <t>4151768</t>
  </si>
  <si>
    <t>Pack years</t>
  </si>
  <si>
    <t>1147165</t>
  </si>
  <si>
    <t>observation.observation_id</t>
  </si>
  <si>
    <t>pack_years_smoked</t>
  </si>
  <si>
    <t>$.donors[].exposures[].tobacco_type[]</t>
  </si>
  <si>
    <t>OMOP Tobacco Type Observation</t>
  </si>
  <si>
    <t>37172639</t>
  </si>
  <si>
    <t>Type of tobacco used</t>
  </si>
  <si>
    <t>tobacco_type</t>
  </si>
  <si>
    <t>$.donors[].comorbidities[]</t>
  </si>
  <si>
    <t>OMOP Comorbidity Condition</t>
  </si>
  <si>
    <t>Comorbidity</t>
  </si>
  <si>
    <t>comorbidity_type_code</t>
  </si>
  <si>
    <t>Calculate Date From Age</t>
  </si>
  <si>
    <t>age_at_comorbidity_diagnosis</t>
  </si>
  <si>
    <t>prior_malignancy</t>
  </si>
  <si>
    <t>condition_status_source_value</t>
  </si>
  <si>
    <t>OMOP Comorbidity Laterality Measurement</t>
  </si>
  <si>
    <t>laterality_of_prior_malignancy</t>
  </si>
  <si>
    <t>MOHCCN Comorbidity Incomplete Modeling</t>
  </si>
  <si>
    <t>Will probably need to create a comorbidity episode and link procedure_occurrence via episode_event</t>
  </si>
  <si>
    <t>comorbidity_treatment_status</t>
  </si>
  <si>
    <t>comorbidity_treatment</t>
  </si>
  <si>
    <t>MOHCCN Sample Registration Incomplete Modeling</t>
  </si>
  <si>
    <t>Sample Registration</t>
  </si>
  <si>
    <t>specimen_tissue_source</t>
  </si>
  <si>
    <t>tumour_normal_designation</t>
  </si>
  <si>
    <t>specimen_type</t>
  </si>
  <si>
    <t>submitter_sample_id</t>
  </si>
  <si>
    <t>sample_type</t>
  </si>
  <si>
    <t>{Biomarker.test_date}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</si>
</sst>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5" x14ac:knownFonts="1">
    <font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49" fontId="2" fillId="0" borderId="0" xfId="0" applyNumberFormat="1" applyFont="1" applyAlignment="1">
      <alignment horizontal="left" wrapText="1"/>
    </xf>
    <xf numFmtId="0" fontId="3" fillId="2" borderId="0" xfId="0" applyFont="1" applyFill="1" applyAlignment="1">
      <alignment wrapText="1"/>
    </xf>
    <xf numFmtId="0" fontId="4" fillId="0" borderId="0" xfId="0" applyFont="1"/>
    <xf numFmtId="49" fontId="3" fillId="0" borderId="0" xfId="0" applyNumberFormat="1" applyFont="1" applyAlignment="1">
      <alignment horizontal="left"/>
    </xf>
    <xf numFmtId="0" fontId="3" fillId="0" borderId="0" xfId="0" applyFont="1"/>
    <xf numFmtId="49" fontId="3" fillId="2" borderId="0" xfId="0" applyNumberFormat="1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06"/>
  <sheetViews>
    <sheetView tabSelected="1" zoomScale="107" zoomScaleNormal="107" workbookViewId="0">
      <pane xSplit="2" ySplit="1" topLeftCell="E547" activePane="bottomRight" state="frozen"/>
      <selection pane="topRight" activeCell="C1" sqref="C1"/>
      <selection pane="bottomLeft" activeCell="A494" sqref="A494"/>
      <selection pane="bottomRight" activeCell="F565" sqref="F565"/>
    </sheetView>
  </sheetViews>
  <sheetFormatPr defaultColWidth="9.140625" defaultRowHeight="13.5" x14ac:dyDescent="0.25"/>
  <cols>
    <col min="1" max="1" width="27.85546875" style="1" customWidth="1"/>
    <col min="2" max="2" width="24.5703125" style="2" customWidth="1"/>
    <col min="3" max="3" width="47.42578125" style="1" customWidth="1"/>
    <col min="4" max="4" width="17.7109375" style="1" customWidth="1"/>
    <col min="5" max="5" width="43.85546875" style="1" customWidth="1"/>
    <col min="6" max="6" width="29.28515625" style="1" customWidth="1"/>
    <col min="7" max="7" width="22.85546875" style="1" customWidth="1"/>
    <col min="8" max="8" width="33.5703125" style="1" customWidth="1"/>
    <col min="9" max="9" width="43.85546875" style="3" customWidth="1"/>
    <col min="10" max="10" width="13.42578125" style="1" customWidth="1"/>
    <col min="11" max="11" width="19.42578125" style="1" customWidth="1"/>
    <col min="12" max="12" width="31.85546875" style="1" customWidth="1"/>
    <col min="13" max="16384" width="9.140625" style="1"/>
  </cols>
  <sheetData>
    <row r="1" spans="1:12" x14ac:dyDescent="0.2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spans="1:12" x14ac:dyDescent="0.25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>
        <v>32879</v>
      </c>
      <c r="J2" s="1" t="s">
        <v>18</v>
      </c>
      <c r="L2" s="1" t="s">
        <v>19</v>
      </c>
    </row>
    <row r="3" spans="1:12" x14ac:dyDescent="0.25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spans="1:12" x14ac:dyDescent="0.25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>
        <v>32879</v>
      </c>
      <c r="J4" s="1" t="s">
        <v>18</v>
      </c>
      <c r="L4" s="1" t="s">
        <v>19</v>
      </c>
    </row>
    <row r="5" spans="1:12" x14ac:dyDescent="0.25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>
        <v>32879</v>
      </c>
      <c r="J5" s="1" t="s">
        <v>18</v>
      </c>
      <c r="L5" s="1" t="s">
        <v>19</v>
      </c>
    </row>
    <row r="6" spans="1:12" x14ac:dyDescent="0.25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>
        <v>32879</v>
      </c>
      <c r="J6" s="1" t="s">
        <v>18</v>
      </c>
      <c r="L6" s="1" t="s">
        <v>19</v>
      </c>
    </row>
    <row r="7" spans="1:12" x14ac:dyDescent="0.25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>
        <v>32879</v>
      </c>
      <c r="J7" s="1" t="s">
        <v>18</v>
      </c>
      <c r="L7" s="1" t="s">
        <v>19</v>
      </c>
    </row>
    <row r="8" spans="1:12" x14ac:dyDescent="0.25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spans="1:12" x14ac:dyDescent="0.25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>
        <v>32879</v>
      </c>
      <c r="J9" s="1" t="s">
        <v>18</v>
      </c>
      <c r="L9" s="1" t="s">
        <v>19</v>
      </c>
    </row>
    <row r="10" spans="1:12" x14ac:dyDescent="0.25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>
        <v>32879</v>
      </c>
      <c r="J10" s="10" t="s">
        <v>18</v>
      </c>
      <c r="K10" s="10"/>
      <c r="L10" s="1" t="s">
        <v>19</v>
      </c>
    </row>
    <row r="11" spans="1:12" x14ac:dyDescent="0.25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t="shared" ref="I11:I19" si="0">$B$39</f>
        <v>OMOP Patient Person</v>
      </c>
      <c r="K11" s="1" t="s">
        <v>41</v>
      </c>
    </row>
    <row r="12" spans="1:12" x14ac:dyDescent="0.25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t="shared" si="0"/>
        <v>OMOP Patient Person</v>
      </c>
      <c r="K12" s="1" t="s">
        <v>41</v>
      </c>
    </row>
    <row r="13" spans="1:12" x14ac:dyDescent="0.25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t="shared" si="0"/>
        <v>OMOP Patient Person</v>
      </c>
      <c r="K13" s="1" t="s">
        <v>41</v>
      </c>
    </row>
    <row r="14" spans="1:12" x14ac:dyDescent="0.25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t="shared" si="0"/>
        <v>OMOP Patient Person</v>
      </c>
      <c r="K14" s="1" t="s">
        <v>41</v>
      </c>
    </row>
    <row r="15" spans="1:12" x14ac:dyDescent="0.25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t="shared" si="0"/>
        <v>OMOP Patient Person</v>
      </c>
      <c r="K15" s="1" t="s">
        <v>41</v>
      </c>
    </row>
    <row r="16" spans="1:12" x14ac:dyDescent="0.25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t="shared" si="0"/>
        <v>OMOP Patient Person</v>
      </c>
      <c r="K16" s="1" t="s">
        <v>41</v>
      </c>
    </row>
    <row r="17" spans="1:12" x14ac:dyDescent="0.25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t="shared" si="0"/>
        <v>OMOP Patient Person</v>
      </c>
      <c r="K17" s="1" t="s">
        <v>41</v>
      </c>
    </row>
    <row r="18" spans="1:12" x14ac:dyDescent="0.25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t="shared" si="0"/>
        <v>OMOP Patient Person</v>
      </c>
      <c r="K18" s="1" t="s">
        <v>41</v>
      </c>
    </row>
    <row r="19" spans="1:12" x14ac:dyDescent="0.25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t="shared" si="0"/>
        <v>OMOP Patient Person</v>
      </c>
      <c r="K19" s="1" t="s">
        <v>41</v>
      </c>
    </row>
    <row r="20" spans="1:12" x14ac:dyDescent="0.25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>$B$381</f>
        <v>OMOP Specimen</v>
      </c>
    </row>
    <row r="21" spans="1:12" x14ac:dyDescent="0.25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>$B$65</f>
        <v>OMOP Primary Dx Episode</v>
      </c>
    </row>
    <row r="22" spans="1:12" x14ac:dyDescent="0.25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>$B$156</f>
        <v>OMOP Treatment Episode</v>
      </c>
    </row>
    <row r="23" spans="1:12" x14ac:dyDescent="0.25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>$B$435</f>
        <v>OMOP Follow Up Visit Occurrence</v>
      </c>
    </row>
    <row r="24" spans="1:12" x14ac:dyDescent="0.25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spans="1:12" x14ac:dyDescent="0.25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spans="1:12" x14ac:dyDescent="0.25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spans="1:12" x14ac:dyDescent="0.25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spans="1:12" x14ac:dyDescent="0.25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spans="1:12" x14ac:dyDescent="0.25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spans="1:12" x14ac:dyDescent="0.25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spans="1:12" x14ac:dyDescent="0.25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spans="1:12" x14ac:dyDescent="0.25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>
        <v>4255047</v>
      </c>
    </row>
    <row r="33" spans="2:12" x14ac:dyDescent="0.25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spans="2:12" x14ac:dyDescent="0.25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spans="2:12" x14ac:dyDescent="0.25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spans="2:12" x14ac:dyDescent="0.25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spans="2:12" x14ac:dyDescent="0.25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pans="2:12" x14ac:dyDescent="0.25">
      <c r="B38" s="1"/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spans="2:12" x14ac:dyDescent="0.25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spans="2:12" x14ac:dyDescent="0.25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spans="2:12" x14ac:dyDescent="0.25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spans="2:12" x14ac:dyDescent="0.25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spans="2:12" x14ac:dyDescent="0.25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spans="2:12" x14ac:dyDescent="0.25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spans="2:12" x14ac:dyDescent="0.25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spans="2:12" x14ac:dyDescent="0.25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spans="2:12" x14ac:dyDescent="0.25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spans="2:12" ht="27" x14ac:dyDescent="0.25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spans="1:12" x14ac:dyDescent="0.25">
      <c r="E49" s="1" t="s">
        <v>111</v>
      </c>
      <c r="F49" s="1" t="s">
        <v>16</v>
      </c>
      <c r="G49" s="4" t="s">
        <v>17</v>
      </c>
      <c r="H49" s="4" t="s">
        <v>17</v>
      </c>
      <c r="I49" s="3">
        <v>37171290</v>
      </c>
      <c r="J49" s="1" t="s">
        <v>112</v>
      </c>
      <c r="L49" s="1" t="s">
        <v>113</v>
      </c>
    </row>
    <row r="50" spans="1:12" x14ac:dyDescent="0.25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spans="1:12" x14ac:dyDescent="0.25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spans="1:12" x14ac:dyDescent="0.25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>
        <v>32879</v>
      </c>
      <c r="J52" s="10" t="s">
        <v>18</v>
      </c>
      <c r="K52" s="10"/>
      <c r="L52" s="1" t="s">
        <v>19</v>
      </c>
    </row>
    <row r="53" spans="1:12" x14ac:dyDescent="0.25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spans="1:12" x14ac:dyDescent="0.25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spans="1:12" x14ac:dyDescent="0.25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spans="1:12" ht="27" x14ac:dyDescent="0.25">
      <c r="B56" s="5" t="s">
        <v>131</v>
      </c>
      <c r="E56" s="1" t="s">
        <v>132</v>
      </c>
      <c r="G56" s="1" t="s">
        <v>39</v>
      </c>
      <c r="H56" s="12" t="s">
        <v>133</v>
      </c>
    </row>
    <row r="57" spans="1:12" x14ac:dyDescent="0.25">
      <c r="E57" s="1" t="s">
        <v>132</v>
      </c>
      <c r="G57" s="1" t="s">
        <v>39</v>
      </c>
      <c r="H57" s="12" t="s">
        <v>134</v>
      </c>
    </row>
    <row r="58" spans="1:12" x14ac:dyDescent="0.25">
      <c r="E58" s="1" t="s">
        <v>132</v>
      </c>
      <c r="G58" s="1" t="s">
        <v>39</v>
      </c>
      <c r="H58" s="12" t="s">
        <v>135</v>
      </c>
    </row>
    <row r="59" spans="1:12" x14ac:dyDescent="0.25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spans="1:12" x14ac:dyDescent="0.25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spans="1:12" x14ac:dyDescent="0.25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spans="1:12" x14ac:dyDescent="0.25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spans="1:12" x14ac:dyDescent="0.25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spans="1:12" x14ac:dyDescent="0.25">
      <c r="E64" s="1" t="s">
        <v>149</v>
      </c>
      <c r="F64" s="1" t="s">
        <v>16</v>
      </c>
      <c r="G64" s="4" t="s">
        <v>17</v>
      </c>
      <c r="H64" s="4" t="s">
        <v>17</v>
      </c>
      <c r="I64" s="7">
        <v>32902</v>
      </c>
      <c r="J64" s="10" t="s">
        <v>150</v>
      </c>
      <c r="K64" s="10"/>
      <c r="L64" s="1" t="s">
        <v>47</v>
      </c>
    </row>
    <row r="65" spans="2:12" x14ac:dyDescent="0.25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spans="2:12" x14ac:dyDescent="0.25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spans="2:12" x14ac:dyDescent="0.25">
      <c r="E67" s="1" t="s">
        <v>157</v>
      </c>
      <c r="F67" s="1" t="s">
        <v>16</v>
      </c>
      <c r="G67" s="4" t="s">
        <v>17</v>
      </c>
      <c r="H67" s="4" t="s">
        <v>17</v>
      </c>
      <c r="I67" s="3">
        <v>0</v>
      </c>
    </row>
    <row r="68" spans="2:12" x14ac:dyDescent="0.25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spans="2:12" x14ac:dyDescent="0.25">
      <c r="E69" s="1" t="s">
        <v>159</v>
      </c>
      <c r="F69" s="1" t="s">
        <v>16</v>
      </c>
      <c r="G69" s="4" t="s">
        <v>17</v>
      </c>
      <c r="H69" s="4" t="s">
        <v>17</v>
      </c>
      <c r="I69" s="8">
        <v>1</v>
      </c>
    </row>
    <row r="70" spans="2:12" x14ac:dyDescent="0.25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spans="2:12" x14ac:dyDescent="0.25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spans="2:12" ht="27" x14ac:dyDescent="0.25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>$B$65</f>
        <v>OMOP Primary Dx Episode</v>
      </c>
      <c r="K72" s="1" t="s">
        <v>41</v>
      </c>
    </row>
    <row r="73" spans="2:12" x14ac:dyDescent="0.25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>$B$59</f>
        <v>OMOP Primary Dx Condition</v>
      </c>
      <c r="K73" s="1" t="s">
        <v>41</v>
      </c>
    </row>
    <row r="74" spans="2:12" x14ac:dyDescent="0.25">
      <c r="E74" s="1" t="s">
        <v>165</v>
      </c>
      <c r="F74" s="1" t="s">
        <v>16</v>
      </c>
      <c r="G74" s="4" t="s">
        <v>17</v>
      </c>
      <c r="H74" s="4" t="s">
        <v>17</v>
      </c>
      <c r="I74" s="3">
        <v>1147127</v>
      </c>
      <c r="J74" s="1" t="s">
        <v>56</v>
      </c>
      <c r="L74" s="1" t="s">
        <v>166</v>
      </c>
    </row>
    <row r="75" spans="2:12" ht="27" x14ac:dyDescent="0.25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spans="2:12" x14ac:dyDescent="0.25">
      <c r="E76" s="1" t="s">
        <v>169</v>
      </c>
      <c r="F76" s="1" t="s">
        <v>16</v>
      </c>
      <c r="G76" s="4" t="s">
        <v>17</v>
      </c>
      <c r="H76" s="4" t="s">
        <v>17</v>
      </c>
      <c r="I76" s="3">
        <v>734306</v>
      </c>
      <c r="J76" s="1" t="s">
        <v>170</v>
      </c>
      <c r="L76" s="1" t="s">
        <v>171</v>
      </c>
    </row>
    <row r="77" spans="2:12" x14ac:dyDescent="0.25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spans="2:12" x14ac:dyDescent="0.25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>$B$59</f>
        <v>OMOP Primary Dx Condition</v>
      </c>
      <c r="K78" s="1" t="s">
        <v>41</v>
      </c>
    </row>
    <row r="79" spans="2:12" x14ac:dyDescent="0.25">
      <c r="E79" s="1" t="s">
        <v>53</v>
      </c>
      <c r="F79" s="1" t="s">
        <v>16</v>
      </c>
      <c r="G79" s="4" t="s">
        <v>17</v>
      </c>
      <c r="H79" s="4" t="s">
        <v>17</v>
      </c>
      <c r="I79" s="3">
        <v>1147127</v>
      </c>
      <c r="J79" s="1" t="s">
        <v>56</v>
      </c>
      <c r="L79" s="1" t="s">
        <v>166</v>
      </c>
    </row>
    <row r="80" spans="2:12" x14ac:dyDescent="0.25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spans="2:12" x14ac:dyDescent="0.25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spans="2:12" ht="27" x14ac:dyDescent="0.25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spans="2:12" x14ac:dyDescent="0.25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spans="2:12" x14ac:dyDescent="0.25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spans="2:12" x14ac:dyDescent="0.25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>$B$59</f>
        <v>OMOP Primary Dx Condition</v>
      </c>
      <c r="K85" s="1" t="s">
        <v>41</v>
      </c>
    </row>
    <row r="86" spans="2:12" x14ac:dyDescent="0.25">
      <c r="E86" s="1" t="s">
        <v>53</v>
      </c>
      <c r="F86" s="1" t="s">
        <v>16</v>
      </c>
      <c r="G86" s="4" t="s">
        <v>17</v>
      </c>
      <c r="H86" s="4" t="s">
        <v>17</v>
      </c>
      <c r="I86" s="3">
        <v>1147127</v>
      </c>
      <c r="J86" s="1" t="s">
        <v>56</v>
      </c>
      <c r="L86" s="1" t="s">
        <v>166</v>
      </c>
    </row>
    <row r="87" spans="2:12" x14ac:dyDescent="0.25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spans="2:12" x14ac:dyDescent="0.25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spans="2:12" ht="27" x14ac:dyDescent="0.25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spans="2:12" x14ac:dyDescent="0.25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spans="2:12" x14ac:dyDescent="0.25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spans="2:12" x14ac:dyDescent="0.25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spans="2:12" x14ac:dyDescent="0.25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spans="2:12" x14ac:dyDescent="0.25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>$B$59</f>
        <v>OMOP Primary Dx Condition</v>
      </c>
      <c r="K94" s="1" t="s">
        <v>41</v>
      </c>
    </row>
    <row r="95" spans="2:12" x14ac:dyDescent="0.25">
      <c r="E95" s="1" t="s">
        <v>190</v>
      </c>
      <c r="F95" s="1" t="s">
        <v>16</v>
      </c>
      <c r="G95" s="4" t="s">
        <v>17</v>
      </c>
      <c r="H95" s="4" t="s">
        <v>17</v>
      </c>
      <c r="I95" s="3">
        <v>1147127</v>
      </c>
      <c r="J95" s="1" t="s">
        <v>56</v>
      </c>
      <c r="L95" s="1" t="s">
        <v>166</v>
      </c>
    </row>
    <row r="96" spans="2:12" ht="27" x14ac:dyDescent="0.25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spans="2:12" x14ac:dyDescent="0.25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spans="2:12" x14ac:dyDescent="0.25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spans="2:12" x14ac:dyDescent="0.25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>$B$59</f>
        <v>OMOP Primary Dx Condition</v>
      </c>
      <c r="K99" s="1" t="s">
        <v>41</v>
      </c>
    </row>
    <row r="100" spans="2:12" x14ac:dyDescent="0.25">
      <c r="E100" s="1" t="s">
        <v>53</v>
      </c>
      <c r="F100" s="1" t="s">
        <v>16</v>
      </c>
      <c r="G100" s="4" t="s">
        <v>17</v>
      </c>
      <c r="H100" s="4" t="s">
        <v>17</v>
      </c>
      <c r="I100" s="3">
        <v>1147127</v>
      </c>
      <c r="J100" s="1" t="s">
        <v>56</v>
      </c>
      <c r="L100" s="1" t="s">
        <v>166</v>
      </c>
    </row>
    <row r="101" spans="2:12" x14ac:dyDescent="0.25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spans="2:12" x14ac:dyDescent="0.25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spans="2:12" ht="27" x14ac:dyDescent="0.25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spans="2:12" x14ac:dyDescent="0.25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spans="2:12" x14ac:dyDescent="0.25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spans="2:12" x14ac:dyDescent="0.25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>$B$59</f>
        <v>OMOP Primary Dx Condition</v>
      </c>
      <c r="K106" s="1" t="s">
        <v>41</v>
      </c>
    </row>
    <row r="107" spans="2:12" x14ac:dyDescent="0.25">
      <c r="E107" s="1" t="s">
        <v>53</v>
      </c>
      <c r="F107" s="1" t="s">
        <v>16</v>
      </c>
      <c r="G107" s="4" t="s">
        <v>17</v>
      </c>
      <c r="H107" s="4" t="s">
        <v>17</v>
      </c>
      <c r="I107" s="3">
        <v>1147127</v>
      </c>
      <c r="J107" s="1" t="s">
        <v>56</v>
      </c>
      <c r="L107" s="1" t="s">
        <v>166</v>
      </c>
    </row>
    <row r="108" spans="2:12" x14ac:dyDescent="0.25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spans="2:12" x14ac:dyDescent="0.25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spans="2:12" ht="27" x14ac:dyDescent="0.25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spans="2:12" x14ac:dyDescent="0.25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spans="2:12" x14ac:dyDescent="0.25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spans="2:12" x14ac:dyDescent="0.25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>$B$59</f>
        <v>OMOP Primary Dx Condition</v>
      </c>
      <c r="K113" s="1" t="s">
        <v>41</v>
      </c>
    </row>
    <row r="114" spans="2:12" x14ac:dyDescent="0.25">
      <c r="E114" s="1" t="s">
        <v>53</v>
      </c>
      <c r="F114" s="1" t="s">
        <v>16</v>
      </c>
      <c r="G114" s="4" t="s">
        <v>17</v>
      </c>
      <c r="H114" s="4" t="s">
        <v>17</v>
      </c>
      <c r="I114" s="3">
        <v>1147127</v>
      </c>
      <c r="J114" s="1" t="s">
        <v>56</v>
      </c>
      <c r="L114" s="1" t="s">
        <v>166</v>
      </c>
    </row>
    <row r="115" spans="2:12" x14ac:dyDescent="0.25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spans="2:12" x14ac:dyDescent="0.25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spans="2:12" ht="27" x14ac:dyDescent="0.25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spans="2:12" x14ac:dyDescent="0.25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spans="2:12" x14ac:dyDescent="0.25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spans="2:12" x14ac:dyDescent="0.25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>$B$59</f>
        <v>OMOP Primary Dx Condition</v>
      </c>
    </row>
    <row r="121" spans="2:12" x14ac:dyDescent="0.25">
      <c r="E121" s="1" t="s">
        <v>190</v>
      </c>
      <c r="F121" s="1" t="s">
        <v>16</v>
      </c>
      <c r="G121" s="4" t="s">
        <v>17</v>
      </c>
      <c r="H121" s="4" t="s">
        <v>17</v>
      </c>
      <c r="I121" s="3">
        <v>1147127</v>
      </c>
      <c r="J121" s="1" t="s">
        <v>56</v>
      </c>
      <c r="L121" s="1" t="s">
        <v>166</v>
      </c>
    </row>
    <row r="122" spans="2:12" x14ac:dyDescent="0.25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spans="2:12" x14ac:dyDescent="0.25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spans="2:12" x14ac:dyDescent="0.25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spans="2:12" x14ac:dyDescent="0.25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spans="2:12" ht="27" x14ac:dyDescent="0.25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spans="2:12" x14ac:dyDescent="0.25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spans="2:12" x14ac:dyDescent="0.25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spans="2:12" x14ac:dyDescent="0.25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>$B$59</f>
        <v>OMOP Primary Dx Condition</v>
      </c>
      <c r="K129" s="1" t="s">
        <v>41</v>
      </c>
    </row>
    <row r="130" spans="2:12" x14ac:dyDescent="0.25">
      <c r="E130" s="1" t="s">
        <v>53</v>
      </c>
      <c r="F130" s="1" t="s">
        <v>16</v>
      </c>
      <c r="G130" s="4" t="s">
        <v>17</v>
      </c>
      <c r="H130" s="4" t="s">
        <v>17</v>
      </c>
      <c r="I130" s="3">
        <v>1147127</v>
      </c>
      <c r="J130" s="1" t="s">
        <v>56</v>
      </c>
      <c r="L130" s="1" t="s">
        <v>166</v>
      </c>
    </row>
    <row r="131" spans="2:12" x14ac:dyDescent="0.25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spans="2:12" x14ac:dyDescent="0.25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spans="2:12" ht="27" x14ac:dyDescent="0.25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spans="2:12" x14ac:dyDescent="0.25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spans="2:12" x14ac:dyDescent="0.25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spans="2:12" x14ac:dyDescent="0.25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>$B$59</f>
        <v>OMOP Primary Dx Condition</v>
      </c>
      <c r="K136" s="1" t="s">
        <v>41</v>
      </c>
    </row>
    <row r="137" spans="2:12" x14ac:dyDescent="0.25">
      <c r="E137" s="1" t="s">
        <v>53</v>
      </c>
      <c r="F137" s="1" t="s">
        <v>16</v>
      </c>
      <c r="G137" s="4" t="s">
        <v>17</v>
      </c>
      <c r="H137" s="4" t="s">
        <v>17</v>
      </c>
      <c r="I137" s="3">
        <v>1147127</v>
      </c>
      <c r="J137" s="1" t="s">
        <v>56</v>
      </c>
      <c r="L137" s="1" t="s">
        <v>166</v>
      </c>
    </row>
    <row r="138" spans="2:12" x14ac:dyDescent="0.25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spans="2:12" x14ac:dyDescent="0.25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spans="2:12" ht="27" x14ac:dyDescent="0.25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spans="2:12" x14ac:dyDescent="0.25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spans="2:12" x14ac:dyDescent="0.25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spans="2:12" x14ac:dyDescent="0.25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>$B$59</f>
        <v>OMOP Primary Dx Condition</v>
      </c>
      <c r="K143" s="1" t="s">
        <v>41</v>
      </c>
    </row>
    <row r="144" spans="2:12" x14ac:dyDescent="0.25">
      <c r="E144" s="1" t="s">
        <v>53</v>
      </c>
      <c r="F144" s="1" t="s">
        <v>16</v>
      </c>
      <c r="G144" s="4" t="s">
        <v>17</v>
      </c>
      <c r="H144" s="4" t="s">
        <v>17</v>
      </c>
      <c r="I144" s="3">
        <v>1147127</v>
      </c>
      <c r="J144" s="1" t="s">
        <v>56</v>
      </c>
      <c r="L144" s="1" t="s">
        <v>166</v>
      </c>
    </row>
    <row r="145" spans="1:12" x14ac:dyDescent="0.25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spans="1:12" x14ac:dyDescent="0.25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spans="1:12" ht="27" x14ac:dyDescent="0.25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spans="1:12" x14ac:dyDescent="0.25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spans="1:12" x14ac:dyDescent="0.25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spans="1:12" x14ac:dyDescent="0.25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>$B$59</f>
        <v>OMOP Primary Dx Condition</v>
      </c>
      <c r="K150" s="1" t="s">
        <v>41</v>
      </c>
    </row>
    <row r="151" spans="1:12" x14ac:dyDescent="0.25">
      <c r="E151" s="1" t="s">
        <v>190</v>
      </c>
      <c r="F151" s="1" t="s">
        <v>16</v>
      </c>
      <c r="G151" s="1" t="s">
        <v>17</v>
      </c>
      <c r="H151" s="4" t="s">
        <v>17</v>
      </c>
      <c r="I151" s="3">
        <v>1147127</v>
      </c>
      <c r="J151" s="1" t="s">
        <v>56</v>
      </c>
      <c r="L151" s="1" t="s">
        <v>166</v>
      </c>
    </row>
    <row r="152" spans="1:12" x14ac:dyDescent="0.25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spans="1:12" x14ac:dyDescent="0.25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spans="1:12" x14ac:dyDescent="0.25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spans="1:12" x14ac:dyDescent="0.25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spans="1:12" ht="27" x14ac:dyDescent="0.25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spans="1:12" x14ac:dyDescent="0.25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spans="1:12" x14ac:dyDescent="0.25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spans="1:12" x14ac:dyDescent="0.25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spans="1:12" x14ac:dyDescent="0.25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spans="2:12" x14ac:dyDescent="0.25">
      <c r="E161" s="1" t="s">
        <v>157</v>
      </c>
      <c r="F161" s="1" t="s">
        <v>16</v>
      </c>
      <c r="G161" s="1" t="s">
        <v>17</v>
      </c>
      <c r="H161" s="4" t="s">
        <v>17</v>
      </c>
      <c r="I161" s="3">
        <v>0</v>
      </c>
    </row>
    <row r="162" spans="2:12" x14ac:dyDescent="0.25">
      <c r="E162" s="1" t="s">
        <v>158</v>
      </c>
      <c r="F162" s="1" t="s">
        <v>16</v>
      </c>
      <c r="G162" s="1" t="s">
        <v>17</v>
      </c>
      <c r="H162" s="4" t="s">
        <v>17</v>
      </c>
      <c r="I162" s="3">
        <v>0</v>
      </c>
    </row>
    <row r="163" spans="2:12" x14ac:dyDescent="0.25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spans="2:12" x14ac:dyDescent="0.25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spans="2:12" x14ac:dyDescent="0.25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spans="2:12" ht="27" x14ac:dyDescent="0.25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>$B$156</f>
        <v>OMOP Treatment Episode</v>
      </c>
      <c r="K166" s="1" t="s">
        <v>41</v>
      </c>
    </row>
    <row r="167" spans="2:12" x14ac:dyDescent="0.25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>$B$59</f>
        <v>OMOP Primary Dx Condition</v>
      </c>
      <c r="K167" s="1" t="s">
        <v>41</v>
      </c>
    </row>
    <row r="168" spans="2:12" x14ac:dyDescent="0.25">
      <c r="E168" s="1" t="s">
        <v>165</v>
      </c>
      <c r="F168" s="1" t="s">
        <v>16</v>
      </c>
      <c r="G168" s="4" t="s">
        <v>17</v>
      </c>
      <c r="H168" s="4" t="s">
        <v>17</v>
      </c>
      <c r="I168" s="3">
        <v>1147127</v>
      </c>
      <c r="J168" s="1" t="s">
        <v>56</v>
      </c>
      <c r="L168" s="1" t="s">
        <v>166</v>
      </c>
    </row>
    <row r="169" spans="2:12" ht="27" x14ac:dyDescent="0.25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spans="2:12" x14ac:dyDescent="0.25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spans="2:12" x14ac:dyDescent="0.25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spans="2:12" x14ac:dyDescent="0.25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>$B$156</f>
        <v>OMOP Treatment Episode</v>
      </c>
      <c r="K172" s="1" t="s">
        <v>41</v>
      </c>
    </row>
    <row r="173" spans="2:12" x14ac:dyDescent="0.25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spans="2:12" x14ac:dyDescent="0.25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spans="2:12" x14ac:dyDescent="0.25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spans="2:12" ht="27" x14ac:dyDescent="0.25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spans="1:12" x14ac:dyDescent="0.25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spans="1:12" x14ac:dyDescent="0.25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spans="1:12" x14ac:dyDescent="0.25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spans="1:12" x14ac:dyDescent="0.25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spans="1:12" x14ac:dyDescent="0.25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>$B$156</f>
        <v>OMOP Treatment Episode</v>
      </c>
      <c r="K181" s="1" t="s">
        <v>41</v>
      </c>
    </row>
    <row r="182" spans="1:12" x14ac:dyDescent="0.25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spans="1:12" x14ac:dyDescent="0.25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spans="1:12" x14ac:dyDescent="0.25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spans="1:12" ht="27" x14ac:dyDescent="0.25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spans="1:12" x14ac:dyDescent="0.25">
      <c r="E186" s="1" t="s">
        <v>278</v>
      </c>
      <c r="F186" s="1" t="s">
        <v>279</v>
      </c>
      <c r="G186" s="1" t="s">
        <v>49</v>
      </c>
      <c r="H186" s="11" t="s">
        <v>280</v>
      </c>
    </row>
    <row r="187" spans="1:12" x14ac:dyDescent="0.25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spans="1:12" x14ac:dyDescent="0.25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spans="1:12" x14ac:dyDescent="0.25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spans="1:12" x14ac:dyDescent="0.25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spans="1:12" ht="27" x14ac:dyDescent="0.25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>$B$156</f>
        <v>OMOP Treatment Episode</v>
      </c>
      <c r="K191" s="1" t="s">
        <v>41</v>
      </c>
    </row>
    <row r="192" spans="1:12" x14ac:dyDescent="0.25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>$B$185</f>
        <v>OMOP Treatment Episode Procedure Occurrence</v>
      </c>
      <c r="K192" s="1" t="s">
        <v>41</v>
      </c>
    </row>
    <row r="193" spans="1:12" x14ac:dyDescent="0.25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spans="1:12" ht="27" x14ac:dyDescent="0.25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spans="1:12" x14ac:dyDescent="0.25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spans="1:12" x14ac:dyDescent="0.25">
      <c r="E196" s="1" t="s">
        <v>157</v>
      </c>
      <c r="F196" s="1" t="s">
        <v>16</v>
      </c>
      <c r="G196" s="1" t="s">
        <v>17</v>
      </c>
      <c r="H196" s="4" t="s">
        <v>17</v>
      </c>
      <c r="I196" s="3">
        <v>0</v>
      </c>
    </row>
    <row r="197" spans="1:12" x14ac:dyDescent="0.25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spans="1:12" x14ac:dyDescent="0.25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spans="1:12" x14ac:dyDescent="0.25">
      <c r="E199" s="1" t="s">
        <v>161</v>
      </c>
      <c r="F199" s="1" t="s">
        <v>123</v>
      </c>
      <c r="G199" s="1" t="s">
        <v>299</v>
      </c>
      <c r="H199" s="11" t="s">
        <v>302</v>
      </c>
    </row>
    <row r="200" spans="1:12" ht="40.5" x14ac:dyDescent="0.25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>$B$156</f>
        <v>OMOP Treatment Episode</v>
      </c>
      <c r="K200" s="1" t="s">
        <v>41</v>
      </c>
    </row>
    <row r="201" spans="1:12" x14ac:dyDescent="0.25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>$B$194</f>
        <v>OMOP Systemic Therapy Episode</v>
      </c>
      <c r="K201" s="1" t="s">
        <v>41</v>
      </c>
    </row>
    <row r="202" spans="1:12" x14ac:dyDescent="0.25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spans="1:12" ht="27" x14ac:dyDescent="0.25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spans="1:12" x14ac:dyDescent="0.25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spans="1:12" x14ac:dyDescent="0.25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spans="1:12" x14ac:dyDescent="0.25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spans="1:12" x14ac:dyDescent="0.25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spans="1:12" ht="27" x14ac:dyDescent="0.25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>$B$194</f>
        <v>OMOP Systemic Therapy Episode</v>
      </c>
      <c r="K208" s="1" t="s">
        <v>41</v>
      </c>
    </row>
    <row r="209" spans="2:12" x14ac:dyDescent="0.25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>$B$203</f>
        <v>OMOP Systemic Therapy Procedure</v>
      </c>
      <c r="K209" s="1" t="s">
        <v>41</v>
      </c>
    </row>
    <row r="210" spans="2:12" x14ac:dyDescent="0.25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spans="2:12" ht="27" x14ac:dyDescent="0.25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spans="2:12" x14ac:dyDescent="0.25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spans="2:12" x14ac:dyDescent="0.25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spans="2:12" x14ac:dyDescent="0.25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spans="2:12" ht="40.5" x14ac:dyDescent="0.25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spans="2:12" x14ac:dyDescent="0.25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spans="2:12" x14ac:dyDescent="0.25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spans="2:12" x14ac:dyDescent="0.25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spans="2:12" x14ac:dyDescent="0.25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spans="2:12" ht="40.5" x14ac:dyDescent="0.25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>$B$194</f>
        <v>OMOP Systemic Therapy Episode</v>
      </c>
      <c r="K220" s="1" t="s">
        <v>41</v>
      </c>
    </row>
    <row r="221" spans="2:12" x14ac:dyDescent="0.25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>$B$211</f>
        <v>OMOP Systemic Therapy Dose Given Drug Exposure</v>
      </c>
      <c r="K221" s="1" t="s">
        <v>41</v>
      </c>
    </row>
    <row r="222" spans="2:12" x14ac:dyDescent="0.25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spans="2:12" ht="27" x14ac:dyDescent="0.25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spans="2:12" x14ac:dyDescent="0.25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spans="1:12" x14ac:dyDescent="0.25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spans="1:12" ht="40.5" x14ac:dyDescent="0.25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spans="1:12" x14ac:dyDescent="0.25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spans="1:12" x14ac:dyDescent="0.25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spans="1:12" x14ac:dyDescent="0.25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spans="1:12" x14ac:dyDescent="0.25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spans="1:12" ht="40.5" x14ac:dyDescent="0.25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>$B$194</f>
        <v>OMOP Systemic Therapy Episode</v>
      </c>
      <c r="K231" s="1" t="s">
        <v>41</v>
      </c>
    </row>
    <row r="232" spans="1:12" x14ac:dyDescent="0.25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>$B$223</f>
        <v>OMOP Systemic Therapy Dose Prescribed Drug Exposure</v>
      </c>
      <c r="K232" s="1" t="s">
        <v>41</v>
      </c>
    </row>
    <row r="233" spans="1:12" x14ac:dyDescent="0.25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spans="1:12" ht="27" x14ac:dyDescent="0.25">
      <c r="B234" s="5" t="s">
        <v>343</v>
      </c>
      <c r="G234" s="1" t="s">
        <v>299</v>
      </c>
      <c r="H234" s="15" t="s">
        <v>344</v>
      </c>
    </row>
    <row r="235" spans="1:12" ht="27" x14ac:dyDescent="0.25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spans="1:12" x14ac:dyDescent="0.25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spans="1:12" x14ac:dyDescent="0.25">
      <c r="E237" s="1" t="s">
        <v>157</v>
      </c>
      <c r="F237" s="1" t="s">
        <v>16</v>
      </c>
      <c r="G237" s="1" t="s">
        <v>17</v>
      </c>
      <c r="H237" s="4" t="s">
        <v>17</v>
      </c>
      <c r="I237" s="3">
        <v>0</v>
      </c>
    </row>
    <row r="238" spans="1:12" x14ac:dyDescent="0.25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spans="1:12" x14ac:dyDescent="0.25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spans="1:12" ht="27" x14ac:dyDescent="0.25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>$B$156</f>
        <v>OMOP Treatment Episode</v>
      </c>
      <c r="K240" s="1" t="s">
        <v>41</v>
      </c>
    </row>
    <row r="241" spans="2:12" x14ac:dyDescent="0.25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>$B$235</f>
        <v>OMOP Radiation Episode</v>
      </c>
      <c r="K241" s="1" t="s">
        <v>41</v>
      </c>
    </row>
    <row r="242" spans="2:12" x14ac:dyDescent="0.25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spans="2:12" x14ac:dyDescent="0.25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spans="2:12" x14ac:dyDescent="0.25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spans="2:12" x14ac:dyDescent="0.25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spans="2:12" x14ac:dyDescent="0.25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spans="2:12" x14ac:dyDescent="0.25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spans="2:12" x14ac:dyDescent="0.25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spans="2:12" ht="27" x14ac:dyDescent="0.25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>$B$235</f>
        <v>OMOP Radiation Episode</v>
      </c>
      <c r="K249" s="1" t="s">
        <v>41</v>
      </c>
    </row>
    <row r="250" spans="2:12" x14ac:dyDescent="0.25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>$B$243</f>
        <v>OMOP Radiation Procedure</v>
      </c>
      <c r="K250" s="1" t="s">
        <v>41</v>
      </c>
    </row>
    <row r="251" spans="2:12" x14ac:dyDescent="0.25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spans="2:12" ht="27" x14ac:dyDescent="0.25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spans="2:12" x14ac:dyDescent="0.25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spans="2:12" x14ac:dyDescent="0.25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spans="2:12" x14ac:dyDescent="0.25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>$B$235</f>
        <v>OMOP Radiation Episode</v>
      </c>
      <c r="K255" s="1" t="s">
        <v>41</v>
      </c>
    </row>
    <row r="256" spans="2:12" x14ac:dyDescent="0.25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spans="2:12" x14ac:dyDescent="0.25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spans="2:12" x14ac:dyDescent="0.25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spans="2:12" ht="27" x14ac:dyDescent="0.25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spans="2:12" x14ac:dyDescent="0.25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spans="2:12" x14ac:dyDescent="0.25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spans="2:12" x14ac:dyDescent="0.25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>$B$235</f>
        <v>OMOP Radiation Episode</v>
      </c>
      <c r="K262" s="1" t="s">
        <v>41</v>
      </c>
    </row>
    <row r="263" spans="2:12" x14ac:dyDescent="0.25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spans="2:12" x14ac:dyDescent="0.25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spans="2:12" ht="27" x14ac:dyDescent="0.25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spans="2:12" x14ac:dyDescent="0.25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spans="2:12" x14ac:dyDescent="0.25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spans="2:12" x14ac:dyDescent="0.25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>$B$235</f>
        <v>OMOP Radiation Episode</v>
      </c>
      <c r="K268" s="1" t="s">
        <v>41</v>
      </c>
    </row>
    <row r="269" spans="2:12" x14ac:dyDescent="0.25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spans="2:12" x14ac:dyDescent="0.25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spans="2:12" x14ac:dyDescent="0.25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spans="2:12" ht="27" x14ac:dyDescent="0.25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spans="1:12" x14ac:dyDescent="0.25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spans="1:12" x14ac:dyDescent="0.25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spans="1:12" x14ac:dyDescent="0.25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spans="1:12" x14ac:dyDescent="0.25">
      <c r="E276" s="1" t="s">
        <v>290</v>
      </c>
      <c r="F276" s="1" t="s">
        <v>21</v>
      </c>
      <c r="G276" s="1" t="s">
        <v>349</v>
      </c>
      <c r="H276" s="11" t="s">
        <v>382</v>
      </c>
    </row>
    <row r="277" spans="1:12" ht="40.5" x14ac:dyDescent="0.25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>$B$235</f>
        <v>OMOP Radiation Episode</v>
      </c>
      <c r="K277" s="1" t="s">
        <v>41</v>
      </c>
    </row>
    <row r="278" spans="1:12" x14ac:dyDescent="0.25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>$B$272</f>
        <v>OMOP Radiation Boost Procedure</v>
      </c>
      <c r="K278" s="1" t="s">
        <v>41</v>
      </c>
    </row>
    <row r="279" spans="1:12" x14ac:dyDescent="0.25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spans="1:12" ht="27" x14ac:dyDescent="0.25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spans="1:12" x14ac:dyDescent="0.25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spans="1:12" x14ac:dyDescent="0.25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spans="1:12" x14ac:dyDescent="0.25">
      <c r="E283" s="1" t="s">
        <v>157</v>
      </c>
      <c r="F283" s="1" t="s">
        <v>16</v>
      </c>
      <c r="G283" s="1" t="s">
        <v>17</v>
      </c>
      <c r="H283" s="4" t="s">
        <v>17</v>
      </c>
      <c r="I283" s="3">
        <v>0</v>
      </c>
    </row>
    <row r="284" spans="1:12" x14ac:dyDescent="0.25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spans="1:12" x14ac:dyDescent="0.25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spans="1:12" x14ac:dyDescent="0.25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>$B$280</f>
        <v>OMOP Surgery Episode</v>
      </c>
    </row>
    <row r="287" spans="1:12" ht="27" x14ac:dyDescent="0.25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>$B$156</f>
        <v>OMOP Treatment Episode</v>
      </c>
      <c r="K287" s="1" t="s">
        <v>41</v>
      </c>
    </row>
    <row r="288" spans="1:12" x14ac:dyDescent="0.25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>$B$280</f>
        <v>OMOP Surgery Episode</v>
      </c>
      <c r="K288" s="1" t="s">
        <v>41</v>
      </c>
    </row>
    <row r="289" spans="2:12" x14ac:dyDescent="0.25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spans="2:12" x14ac:dyDescent="0.25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spans="2:12" x14ac:dyDescent="0.25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spans="2:12" ht="40.5" x14ac:dyDescent="0.25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spans="2:12" x14ac:dyDescent="0.25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spans="2:12" ht="27" x14ac:dyDescent="0.25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>$B$280</f>
        <v>OMOP Surgery Episode</v>
      </c>
      <c r="K294" s="1" t="s">
        <v>41</v>
      </c>
    </row>
    <row r="295" spans="2:12" x14ac:dyDescent="0.25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>$B$290</f>
        <v>OMOP Surgery Procedure</v>
      </c>
      <c r="K295" s="1" t="s">
        <v>41</v>
      </c>
    </row>
    <row r="296" spans="2:12" x14ac:dyDescent="0.25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spans="2:12" ht="27" x14ac:dyDescent="0.25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spans="2:12" x14ac:dyDescent="0.25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spans="2:12" x14ac:dyDescent="0.25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spans="2:12" x14ac:dyDescent="0.25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>$B$280</f>
        <v>OMOP Surgery Episode</v>
      </c>
      <c r="K300" s="1" t="s">
        <v>41</v>
      </c>
    </row>
    <row r="301" spans="2:12" x14ac:dyDescent="0.25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spans="2:12" x14ac:dyDescent="0.25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spans="2:12" x14ac:dyDescent="0.25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spans="2:12" ht="27" x14ac:dyDescent="0.25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spans="2:12" x14ac:dyDescent="0.25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spans="2:12" x14ac:dyDescent="0.25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spans="2:12" x14ac:dyDescent="0.25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>$B$280</f>
        <v>OMOP Surgery Episode</v>
      </c>
      <c r="K307" s="1" t="s">
        <v>41</v>
      </c>
    </row>
    <row r="308" spans="2:12" x14ac:dyDescent="0.25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spans="2:12" x14ac:dyDescent="0.25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spans="2:12" x14ac:dyDescent="0.25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spans="2:12" ht="40.5" x14ac:dyDescent="0.25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spans="2:12" x14ac:dyDescent="0.25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spans="2:12" x14ac:dyDescent="0.25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spans="2:12" x14ac:dyDescent="0.25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>$B$280</f>
        <v>OMOP Surgery Episode</v>
      </c>
      <c r="K314" s="1" t="s">
        <v>41</v>
      </c>
    </row>
    <row r="315" spans="2:12" x14ac:dyDescent="0.25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spans="2:12" x14ac:dyDescent="0.25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spans="2:12" x14ac:dyDescent="0.25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spans="2:12" ht="27" x14ac:dyDescent="0.25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spans="2:12" x14ac:dyDescent="0.25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spans="2:12" x14ac:dyDescent="0.25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spans="2:12" x14ac:dyDescent="0.25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>$B$280</f>
        <v>OMOP Surgery Episode</v>
      </c>
      <c r="K321" s="1" t="s">
        <v>41</v>
      </c>
    </row>
    <row r="322" spans="2:12" x14ac:dyDescent="0.25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spans="2:12" x14ac:dyDescent="0.25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spans="2:12" x14ac:dyDescent="0.25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spans="2:12" ht="27" x14ac:dyDescent="0.25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spans="2:12" x14ac:dyDescent="0.25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spans="2:12" x14ac:dyDescent="0.25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spans="2:12" x14ac:dyDescent="0.25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>$B$280</f>
        <v>OMOP Surgery Episode</v>
      </c>
      <c r="K328" s="1" t="s">
        <v>41</v>
      </c>
    </row>
    <row r="329" spans="2:12" x14ac:dyDescent="0.25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spans="2:12" x14ac:dyDescent="0.25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spans="2:12" x14ac:dyDescent="0.25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spans="2:12" ht="27" x14ac:dyDescent="0.25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spans="2:12" x14ac:dyDescent="0.25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spans="2:12" x14ac:dyDescent="0.25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spans="2:12" x14ac:dyDescent="0.25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>$B$280</f>
        <v>OMOP Surgery Episode</v>
      </c>
      <c r="K335" s="1" t="s">
        <v>41</v>
      </c>
    </row>
    <row r="336" spans="2:12" x14ac:dyDescent="0.25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spans="2:12" x14ac:dyDescent="0.25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spans="2:12" x14ac:dyDescent="0.25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spans="2:12" ht="40.5" x14ac:dyDescent="0.25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spans="2:12" x14ac:dyDescent="0.25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spans="2:12" x14ac:dyDescent="0.25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spans="2:12" x14ac:dyDescent="0.25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>$B$280</f>
        <v>OMOP Surgery Episode</v>
      </c>
      <c r="K342" s="1" t="s">
        <v>41</v>
      </c>
    </row>
    <row r="343" spans="2:12" x14ac:dyDescent="0.25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spans="2:12" x14ac:dyDescent="0.25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spans="2:12" x14ac:dyDescent="0.25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spans="2:12" ht="40.5" x14ac:dyDescent="0.25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spans="2:12" x14ac:dyDescent="0.25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spans="2:12" x14ac:dyDescent="0.25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spans="2:12" x14ac:dyDescent="0.25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>$B$280</f>
        <v>OMOP Surgery Episode</v>
      </c>
      <c r="K349" s="1" t="s">
        <v>41</v>
      </c>
    </row>
    <row r="350" spans="2:12" x14ac:dyDescent="0.25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spans="2:12" x14ac:dyDescent="0.25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spans="2:12" x14ac:dyDescent="0.25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spans="1:12" ht="40.5" x14ac:dyDescent="0.25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spans="1:12" x14ac:dyDescent="0.25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spans="1:12" x14ac:dyDescent="0.25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spans="1:12" x14ac:dyDescent="0.25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>$B$280</f>
        <v>OMOP Surgery Episode</v>
      </c>
      <c r="K356" s="1" t="s">
        <v>41</v>
      </c>
    </row>
    <row r="357" spans="1:12" x14ac:dyDescent="0.25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spans="1:12" x14ac:dyDescent="0.25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spans="1:12" x14ac:dyDescent="0.25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spans="1:12" ht="40.5" x14ac:dyDescent="0.25">
      <c r="A360" s="4" t="s">
        <v>450</v>
      </c>
      <c r="B360" s="5" t="s">
        <v>451</v>
      </c>
      <c r="D360" s="1" t="s">
        <v>29</v>
      </c>
      <c r="E360" s="16" t="s">
        <v>452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spans="1:12" x14ac:dyDescent="0.25">
      <c r="E361" s="16" t="s">
        <v>453</v>
      </c>
      <c r="F361" s="1" t="s">
        <v>16</v>
      </c>
      <c r="G361" s="1" t="s">
        <v>17</v>
      </c>
      <c r="H361" s="4" t="s">
        <v>17</v>
      </c>
      <c r="I361" s="6" t="s">
        <v>454</v>
      </c>
      <c r="J361" s="1" t="s">
        <v>112</v>
      </c>
      <c r="L361" s="1" t="s">
        <v>455</v>
      </c>
    </row>
    <row r="362" spans="1:12" x14ac:dyDescent="0.25">
      <c r="E362" s="16" t="s">
        <v>456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spans="1:12" x14ac:dyDescent="0.25">
      <c r="E363" s="16" t="s">
        <v>457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spans="1:12" x14ac:dyDescent="0.25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spans="1:12" x14ac:dyDescent="0.25">
      <c r="C365" s="1" t="s">
        <v>458</v>
      </c>
      <c r="E365" s="1" t="s">
        <v>115</v>
      </c>
      <c r="F365" s="1" t="s">
        <v>279</v>
      </c>
      <c r="G365" s="1" t="s">
        <v>386</v>
      </c>
      <c r="H365" s="11" t="s">
        <v>459</v>
      </c>
    </row>
    <row r="366" spans="1:12" x14ac:dyDescent="0.25">
      <c r="C366" s="1" t="s">
        <v>460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spans="1:12" ht="40.5" x14ac:dyDescent="0.25">
      <c r="A367" s="4" t="s">
        <v>461</v>
      </c>
      <c r="B367" s="5" t="s">
        <v>462</v>
      </c>
      <c r="D367" s="1" t="s">
        <v>29</v>
      </c>
      <c r="E367" s="16" t="s">
        <v>452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spans="1:12" x14ac:dyDescent="0.25">
      <c r="E368" s="16" t="s">
        <v>453</v>
      </c>
      <c r="F368" s="1" t="s">
        <v>16</v>
      </c>
      <c r="G368" s="1" t="s">
        <v>17</v>
      </c>
      <c r="H368" s="4" t="s">
        <v>17</v>
      </c>
      <c r="I368" s="6" t="s">
        <v>463</v>
      </c>
      <c r="J368" s="1" t="s">
        <v>112</v>
      </c>
      <c r="L368" s="1" t="s">
        <v>464</v>
      </c>
    </row>
    <row r="369" spans="1:12" x14ac:dyDescent="0.25">
      <c r="E369" s="16" t="s">
        <v>456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spans="1:12" x14ac:dyDescent="0.25">
      <c r="E370" s="16" t="s">
        <v>457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spans="1:12" x14ac:dyDescent="0.25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spans="1:12" x14ac:dyDescent="0.25">
      <c r="C372" s="1" t="s">
        <v>465</v>
      </c>
      <c r="E372" s="1" t="s">
        <v>115</v>
      </c>
      <c r="F372" s="1" t="s">
        <v>279</v>
      </c>
      <c r="G372" s="1" t="s">
        <v>386</v>
      </c>
      <c r="H372" s="11" t="s">
        <v>466</v>
      </c>
    </row>
    <row r="373" spans="1:12" x14ac:dyDescent="0.25">
      <c r="C373" s="1" t="s">
        <v>467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spans="1:12" ht="40.5" x14ac:dyDescent="0.25">
      <c r="A374" s="4" t="s">
        <v>468</v>
      </c>
      <c r="B374" s="5" t="s">
        <v>469</v>
      </c>
      <c r="D374" s="1" t="s">
        <v>29</v>
      </c>
      <c r="E374" s="16" t="s">
        <v>452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spans="1:12" x14ac:dyDescent="0.25">
      <c r="E375" s="16" t="s">
        <v>453</v>
      </c>
      <c r="F375" s="1" t="s">
        <v>16</v>
      </c>
      <c r="G375" s="1" t="s">
        <v>17</v>
      </c>
      <c r="H375" s="4" t="s">
        <v>17</v>
      </c>
      <c r="I375" s="6" t="s">
        <v>470</v>
      </c>
      <c r="J375" s="1" t="s">
        <v>112</v>
      </c>
      <c r="L375" s="1" t="s">
        <v>471</v>
      </c>
    </row>
    <row r="376" spans="1:12" x14ac:dyDescent="0.25">
      <c r="E376" s="16" t="s">
        <v>456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spans="1:12" x14ac:dyDescent="0.25">
      <c r="E377" s="16" t="s">
        <v>457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spans="1:12" x14ac:dyDescent="0.25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spans="1:12" x14ac:dyDescent="0.25">
      <c r="C379" s="1" t="s">
        <v>472</v>
      </c>
      <c r="E379" s="1" t="s">
        <v>115</v>
      </c>
      <c r="F379" s="1" t="s">
        <v>279</v>
      </c>
      <c r="G379" s="1" t="s">
        <v>386</v>
      </c>
      <c r="H379" s="11" t="s">
        <v>473</v>
      </c>
    </row>
    <row r="380" spans="1:12" x14ac:dyDescent="0.25">
      <c r="C380" s="1" t="s">
        <v>474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spans="1:12" ht="27" x14ac:dyDescent="0.25">
      <c r="A381" s="4" t="s">
        <v>475</v>
      </c>
      <c r="B381" s="5" t="s">
        <v>476</v>
      </c>
      <c r="D381" s="1" t="s">
        <v>64</v>
      </c>
      <c r="E381" s="1" t="s">
        <v>477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spans="1:12" x14ac:dyDescent="0.25">
      <c r="B382" s="1"/>
      <c r="D382" s="1" t="s">
        <v>25</v>
      </c>
      <c r="E382" s="1" t="s">
        <v>478</v>
      </c>
      <c r="F382" s="1" t="s">
        <v>84</v>
      </c>
      <c r="G382" s="1" t="s">
        <v>45</v>
      </c>
      <c r="H382" s="4" t="s">
        <v>46</v>
      </c>
    </row>
    <row r="383" spans="1:12" x14ac:dyDescent="0.25">
      <c r="B383" s="1"/>
      <c r="E383" s="1" t="s">
        <v>479</v>
      </c>
      <c r="F383" s="1" t="s">
        <v>16</v>
      </c>
      <c r="G383" s="1" t="s">
        <v>17</v>
      </c>
      <c r="H383" s="4" t="s">
        <v>17</v>
      </c>
      <c r="I383" s="6" t="s">
        <v>480</v>
      </c>
      <c r="J383" s="1" t="s">
        <v>112</v>
      </c>
      <c r="L383" s="1" t="s">
        <v>481</v>
      </c>
    </row>
    <row r="384" spans="1:12" x14ac:dyDescent="0.25">
      <c r="C384" s="1" t="s">
        <v>482</v>
      </c>
      <c r="E384" s="1" t="s">
        <v>483</v>
      </c>
      <c r="F384" s="1" t="s">
        <v>123</v>
      </c>
      <c r="G384" s="1" t="s">
        <v>45</v>
      </c>
      <c r="H384" s="11" t="s">
        <v>484</v>
      </c>
      <c r="K384" s="1" t="s">
        <v>125</v>
      </c>
    </row>
    <row r="385" spans="2:12" x14ac:dyDescent="0.25">
      <c r="C385" s="1" t="s">
        <v>485</v>
      </c>
      <c r="E385" s="1" t="s">
        <v>486</v>
      </c>
      <c r="F385" s="1" t="s">
        <v>141</v>
      </c>
      <c r="G385" s="1" t="s">
        <v>45</v>
      </c>
      <c r="H385" s="11" t="s">
        <v>487</v>
      </c>
      <c r="J385" s="1" t="s">
        <v>418</v>
      </c>
    </row>
    <row r="386" spans="2:12" x14ac:dyDescent="0.25">
      <c r="C386" s="1" t="s">
        <v>488</v>
      </c>
      <c r="E386" s="1" t="s">
        <v>489</v>
      </c>
      <c r="F386" s="1" t="s">
        <v>21</v>
      </c>
      <c r="G386" s="1" t="s">
        <v>45</v>
      </c>
      <c r="H386" s="11" t="s">
        <v>487</v>
      </c>
    </row>
    <row r="387" spans="2:12" x14ac:dyDescent="0.25">
      <c r="E387" s="1" t="s">
        <v>490</v>
      </c>
      <c r="F387" s="1" t="s">
        <v>21</v>
      </c>
      <c r="G387" s="1" t="s">
        <v>45</v>
      </c>
      <c r="H387" s="11" t="s">
        <v>46</v>
      </c>
    </row>
    <row r="388" spans="2:12" ht="27" x14ac:dyDescent="0.25">
      <c r="B388" s="5" t="s">
        <v>491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spans="2:12" x14ac:dyDescent="0.25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492</v>
      </c>
      <c r="J389" s="1" t="s">
        <v>112</v>
      </c>
      <c r="L389" s="1" t="s">
        <v>493</v>
      </c>
    </row>
    <row r="390" spans="2:12" x14ac:dyDescent="0.25">
      <c r="E390" s="1" t="s">
        <v>20</v>
      </c>
      <c r="F390" s="1" t="s">
        <v>123</v>
      </c>
      <c r="G390" s="1" t="s">
        <v>45</v>
      </c>
      <c r="H390" s="11" t="s">
        <v>484</v>
      </c>
      <c r="K390" s="1" t="s">
        <v>125</v>
      </c>
    </row>
    <row r="391" spans="2:12" x14ac:dyDescent="0.25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>$B$381</f>
        <v>OMOP Specimen</v>
      </c>
      <c r="K391" s="1" t="s">
        <v>41</v>
      </c>
    </row>
    <row r="392" spans="2:12" x14ac:dyDescent="0.25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spans="2:12" x14ac:dyDescent="0.25">
      <c r="C393" s="1" t="s">
        <v>494</v>
      </c>
      <c r="E393" s="1" t="s">
        <v>115</v>
      </c>
      <c r="F393" s="1" t="s">
        <v>141</v>
      </c>
      <c r="G393" s="1" t="s">
        <v>45</v>
      </c>
      <c r="H393" s="11" t="s">
        <v>495</v>
      </c>
      <c r="J393" s="1" t="s">
        <v>418</v>
      </c>
      <c r="K393" s="1" t="s">
        <v>41</v>
      </c>
    </row>
    <row r="394" spans="2:12" x14ac:dyDescent="0.25">
      <c r="C394" s="1" t="s">
        <v>496</v>
      </c>
      <c r="E394" s="1" t="s">
        <v>118</v>
      </c>
      <c r="F394" s="1" t="s">
        <v>21</v>
      </c>
      <c r="G394" s="1" t="s">
        <v>45</v>
      </c>
      <c r="H394" s="11" t="s">
        <v>495</v>
      </c>
    </row>
    <row r="395" spans="2:12" ht="27" x14ac:dyDescent="0.25">
      <c r="B395" s="5" t="s">
        <v>497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spans="2:12" x14ac:dyDescent="0.25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498</v>
      </c>
      <c r="J396" s="1" t="s">
        <v>112</v>
      </c>
      <c r="L396" s="1" t="s">
        <v>499</v>
      </c>
    </row>
    <row r="397" spans="2:12" x14ac:dyDescent="0.25">
      <c r="E397" s="1" t="s">
        <v>20</v>
      </c>
      <c r="F397" s="1" t="s">
        <v>123</v>
      </c>
      <c r="G397" s="1" t="s">
        <v>45</v>
      </c>
      <c r="H397" s="11" t="s">
        <v>484</v>
      </c>
      <c r="K397" s="1" t="s">
        <v>125</v>
      </c>
    </row>
    <row r="398" spans="2:12" x14ac:dyDescent="0.25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>$B$381</f>
        <v>OMOP Specimen</v>
      </c>
      <c r="K398" s="1" t="s">
        <v>41</v>
      </c>
    </row>
    <row r="399" spans="2:12" x14ac:dyDescent="0.25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spans="2:12" x14ac:dyDescent="0.25">
      <c r="C400" s="1" t="s">
        <v>500</v>
      </c>
      <c r="E400" s="1" t="s">
        <v>115</v>
      </c>
      <c r="F400" s="1" t="s">
        <v>89</v>
      </c>
      <c r="G400" s="1" t="s">
        <v>45</v>
      </c>
      <c r="H400" s="11" t="s">
        <v>501</v>
      </c>
      <c r="K400" s="1" t="s">
        <v>92</v>
      </c>
    </row>
    <row r="401" spans="2:12" x14ac:dyDescent="0.25">
      <c r="C401" s="1" t="s">
        <v>500</v>
      </c>
      <c r="E401" s="1" t="s">
        <v>118</v>
      </c>
      <c r="F401" s="1" t="s">
        <v>21</v>
      </c>
      <c r="G401" s="1" t="s">
        <v>45</v>
      </c>
      <c r="H401" s="11" t="s">
        <v>501</v>
      </c>
    </row>
    <row r="402" spans="2:12" x14ac:dyDescent="0.25">
      <c r="C402" s="1" t="s">
        <v>502</v>
      </c>
      <c r="E402" s="1" t="s">
        <v>216</v>
      </c>
      <c r="F402" s="1" t="s">
        <v>89</v>
      </c>
      <c r="G402" s="1" t="s">
        <v>45</v>
      </c>
      <c r="H402" s="11" t="s">
        <v>503</v>
      </c>
    </row>
    <row r="403" spans="2:12" x14ac:dyDescent="0.25">
      <c r="C403" s="1" t="s">
        <v>502</v>
      </c>
      <c r="E403" s="1" t="s">
        <v>219</v>
      </c>
      <c r="F403" s="1" t="s">
        <v>21</v>
      </c>
      <c r="G403" s="1" t="s">
        <v>45</v>
      </c>
      <c r="H403" s="11" t="s">
        <v>503</v>
      </c>
    </row>
    <row r="404" spans="2:12" ht="27" x14ac:dyDescent="0.25">
      <c r="B404" s="5" t="s">
        <v>504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spans="2:12" x14ac:dyDescent="0.25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505</v>
      </c>
      <c r="J405" s="1" t="s">
        <v>112</v>
      </c>
      <c r="L405" s="1" t="s">
        <v>506</v>
      </c>
    </row>
    <row r="406" spans="2:12" x14ac:dyDescent="0.25">
      <c r="E406" s="1" t="s">
        <v>20</v>
      </c>
      <c r="F406" s="1" t="s">
        <v>123</v>
      </c>
      <c r="G406" s="1" t="s">
        <v>45</v>
      </c>
      <c r="H406" s="11" t="s">
        <v>484</v>
      </c>
      <c r="K406" s="1" t="s">
        <v>125</v>
      </c>
    </row>
    <row r="407" spans="2:12" x14ac:dyDescent="0.25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>$B$381</f>
        <v>OMOP Specimen</v>
      </c>
      <c r="K407" s="1" t="s">
        <v>41</v>
      </c>
    </row>
    <row r="408" spans="2:12" x14ac:dyDescent="0.25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spans="2:12" x14ac:dyDescent="0.25">
      <c r="C409" s="1" t="s">
        <v>507</v>
      </c>
      <c r="E409" s="1" t="s">
        <v>115</v>
      </c>
      <c r="F409" s="1" t="s">
        <v>89</v>
      </c>
      <c r="G409" s="1" t="s">
        <v>45</v>
      </c>
      <c r="H409" s="11" t="s">
        <v>508</v>
      </c>
      <c r="K409" s="1" t="s">
        <v>41</v>
      </c>
    </row>
    <row r="410" spans="2:12" x14ac:dyDescent="0.25">
      <c r="C410" s="1" t="s">
        <v>509</v>
      </c>
      <c r="E410" s="1" t="s">
        <v>118</v>
      </c>
      <c r="F410" s="1" t="s">
        <v>21</v>
      </c>
      <c r="G410" s="1" t="s">
        <v>45</v>
      </c>
      <c r="H410" s="11" t="s">
        <v>508</v>
      </c>
    </row>
    <row r="411" spans="2:12" ht="27" x14ac:dyDescent="0.25">
      <c r="B411" s="5" t="s">
        <v>510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spans="2:12" x14ac:dyDescent="0.25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511</v>
      </c>
      <c r="J412" s="1" t="s">
        <v>112</v>
      </c>
      <c r="L412" s="1" t="s">
        <v>512</v>
      </c>
    </row>
    <row r="413" spans="2:12" x14ac:dyDescent="0.25">
      <c r="E413" s="1" t="s">
        <v>20</v>
      </c>
      <c r="F413" s="1" t="s">
        <v>123</v>
      </c>
      <c r="G413" s="1" t="s">
        <v>45</v>
      </c>
      <c r="H413" s="11" t="s">
        <v>484</v>
      </c>
      <c r="K413" s="1" t="s">
        <v>125</v>
      </c>
    </row>
    <row r="414" spans="2:12" x14ac:dyDescent="0.25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>$B$381</f>
        <v>OMOP Specimen</v>
      </c>
      <c r="K414" s="1" t="s">
        <v>41</v>
      </c>
    </row>
    <row r="415" spans="2:12" x14ac:dyDescent="0.25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spans="2:12" x14ac:dyDescent="0.25">
      <c r="C416" s="1" t="s">
        <v>513</v>
      </c>
      <c r="E416" s="1" t="s">
        <v>115</v>
      </c>
      <c r="F416" s="1" t="s">
        <v>89</v>
      </c>
      <c r="G416" s="1" t="s">
        <v>45</v>
      </c>
      <c r="H416" s="11" t="s">
        <v>514</v>
      </c>
      <c r="K416" s="1" t="s">
        <v>41</v>
      </c>
    </row>
    <row r="417" spans="2:12" x14ac:dyDescent="0.25">
      <c r="C417" s="1" t="s">
        <v>513</v>
      </c>
      <c r="E417" s="1" t="s">
        <v>118</v>
      </c>
      <c r="F417" s="1" t="s">
        <v>21</v>
      </c>
      <c r="G417" s="1" t="s">
        <v>45</v>
      </c>
      <c r="H417" s="11" t="s">
        <v>514</v>
      </c>
    </row>
    <row r="418" spans="2:12" ht="27" x14ac:dyDescent="0.25">
      <c r="B418" s="5" t="s">
        <v>515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spans="2:12" x14ac:dyDescent="0.25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516</v>
      </c>
      <c r="J419" s="1" t="s">
        <v>112</v>
      </c>
      <c r="L419" s="1" t="s">
        <v>517</v>
      </c>
    </row>
    <row r="420" spans="2:12" x14ac:dyDescent="0.25">
      <c r="E420" s="1" t="s">
        <v>20</v>
      </c>
      <c r="F420" s="1" t="s">
        <v>123</v>
      </c>
      <c r="G420" s="1" t="s">
        <v>45</v>
      </c>
      <c r="H420" s="11" t="s">
        <v>484</v>
      </c>
      <c r="K420" s="1" t="s">
        <v>125</v>
      </c>
    </row>
    <row r="421" spans="2:12" x14ac:dyDescent="0.25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>$B$381</f>
        <v>OMOP Specimen</v>
      </c>
      <c r="K421" s="1" t="s">
        <v>41</v>
      </c>
    </row>
    <row r="422" spans="2:12" x14ac:dyDescent="0.25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spans="2:12" x14ac:dyDescent="0.25">
      <c r="C423" s="1" t="s">
        <v>518</v>
      </c>
      <c r="E423" s="1" t="s">
        <v>115</v>
      </c>
      <c r="F423" s="1" t="s">
        <v>89</v>
      </c>
      <c r="G423" s="1" t="s">
        <v>45</v>
      </c>
      <c r="H423" s="11" t="s">
        <v>519</v>
      </c>
      <c r="K423" s="1" t="s">
        <v>41</v>
      </c>
    </row>
    <row r="424" spans="2:12" x14ac:dyDescent="0.25">
      <c r="C424" s="1" t="s">
        <v>518</v>
      </c>
      <c r="E424" s="1" t="s">
        <v>118</v>
      </c>
      <c r="F424" s="1" t="s">
        <v>21</v>
      </c>
      <c r="G424" s="1" t="s">
        <v>45</v>
      </c>
      <c r="H424" s="11" t="s">
        <v>519</v>
      </c>
    </row>
    <row r="425" spans="2:12" ht="27" x14ac:dyDescent="0.25">
      <c r="B425" s="5" t="s">
        <v>520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>$B$65</f>
        <v>OMOP Primary Dx Episode</v>
      </c>
      <c r="K425" s="1" t="s">
        <v>41</v>
      </c>
    </row>
    <row r="426" spans="2:12" x14ac:dyDescent="0.25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>$B$381</f>
        <v>OMOP Specimen</v>
      </c>
      <c r="K426" s="1" t="s">
        <v>41</v>
      </c>
    </row>
    <row r="427" spans="2:12" x14ac:dyDescent="0.25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spans="2:12" ht="27" x14ac:dyDescent="0.25">
      <c r="B428" s="5" t="s">
        <v>521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>$B$156</f>
        <v>OMOP Treatment Episode</v>
      </c>
      <c r="K428" s="1" t="s">
        <v>41</v>
      </c>
    </row>
    <row r="429" spans="2:12" x14ac:dyDescent="0.25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>$B$381</f>
        <v>OMOP Specimen</v>
      </c>
      <c r="K429" s="1" t="s">
        <v>41</v>
      </c>
    </row>
    <row r="430" spans="2:12" x14ac:dyDescent="0.25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spans="2:12" ht="27" x14ac:dyDescent="0.25">
      <c r="B431" s="5" t="s">
        <v>522</v>
      </c>
      <c r="G431" s="1" t="s">
        <v>45</v>
      </c>
      <c r="H431" s="12" t="s">
        <v>523</v>
      </c>
    </row>
    <row r="432" spans="2:12" ht="27" x14ac:dyDescent="0.25">
      <c r="G432" s="1" t="s">
        <v>45</v>
      </c>
      <c r="H432" s="12" t="s">
        <v>524</v>
      </c>
    </row>
    <row r="433" spans="1:12" x14ac:dyDescent="0.25">
      <c r="G433" s="1" t="s">
        <v>45</v>
      </c>
      <c r="H433" s="12" t="s">
        <v>525</v>
      </c>
    </row>
    <row r="434" spans="1:12" ht="27" x14ac:dyDescent="0.25">
      <c r="G434" s="1" t="s">
        <v>45</v>
      </c>
      <c r="H434" s="12" t="s">
        <v>526</v>
      </c>
    </row>
    <row r="435" spans="1:12" ht="27" x14ac:dyDescent="0.25">
      <c r="A435" s="4" t="s">
        <v>527</v>
      </c>
      <c r="B435" s="5" t="s">
        <v>528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spans="1:12" x14ac:dyDescent="0.25">
      <c r="B436" s="1"/>
      <c r="D436" s="1" t="s">
        <v>27</v>
      </c>
      <c r="E436" s="1" t="s">
        <v>529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spans="1:12" x14ac:dyDescent="0.25">
      <c r="E437" s="1" t="s">
        <v>530</v>
      </c>
      <c r="F437" s="1" t="s">
        <v>16</v>
      </c>
      <c r="G437" s="1" t="s">
        <v>17</v>
      </c>
      <c r="H437" s="4" t="s">
        <v>17</v>
      </c>
      <c r="I437" s="6" t="s">
        <v>531</v>
      </c>
      <c r="J437" s="1" t="s">
        <v>532</v>
      </c>
      <c r="L437" s="1" t="s">
        <v>533</v>
      </c>
    </row>
    <row r="438" spans="1:12" x14ac:dyDescent="0.25">
      <c r="E438" s="1" t="s">
        <v>534</v>
      </c>
      <c r="F438" s="1" t="s">
        <v>123</v>
      </c>
      <c r="G438" s="1" t="s">
        <v>51</v>
      </c>
      <c r="H438" s="13" t="s">
        <v>535</v>
      </c>
      <c r="K438" s="1" t="s">
        <v>125</v>
      </c>
    </row>
    <row r="439" spans="1:12" x14ac:dyDescent="0.25">
      <c r="E439" s="1" t="s">
        <v>536</v>
      </c>
      <c r="F439" s="1" t="s">
        <v>123</v>
      </c>
      <c r="G439" s="1" t="s">
        <v>51</v>
      </c>
      <c r="H439" s="13" t="s">
        <v>535</v>
      </c>
      <c r="I439" s="17"/>
      <c r="K439" s="1" t="s">
        <v>125</v>
      </c>
    </row>
    <row r="440" spans="1:12" ht="27" x14ac:dyDescent="0.25">
      <c r="B440" s="5" t="s">
        <v>537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spans="1:12" x14ac:dyDescent="0.25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538</v>
      </c>
      <c r="J441" s="1" t="s">
        <v>112</v>
      </c>
      <c r="L441" s="1" t="s">
        <v>539</v>
      </c>
    </row>
    <row r="442" spans="1:12" x14ac:dyDescent="0.25">
      <c r="E442" s="1" t="s">
        <v>20</v>
      </c>
      <c r="F442" s="1" t="s">
        <v>123</v>
      </c>
      <c r="G442" s="1" t="s">
        <v>51</v>
      </c>
      <c r="H442" s="11" t="s">
        <v>540</v>
      </c>
      <c r="K442" s="1" t="s">
        <v>125</v>
      </c>
    </row>
    <row r="443" spans="1:12" x14ac:dyDescent="0.25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>$B$435</f>
        <v>OMOP Follow Up Visit Occurrence</v>
      </c>
    </row>
    <row r="444" spans="1:12" x14ac:dyDescent="0.25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spans="1:12" x14ac:dyDescent="0.25">
      <c r="E445" s="1" t="s">
        <v>115</v>
      </c>
      <c r="F445" s="1" t="s">
        <v>89</v>
      </c>
      <c r="G445" s="1" t="s">
        <v>51</v>
      </c>
      <c r="H445" s="11" t="s">
        <v>541</v>
      </c>
      <c r="K445" s="1" t="s">
        <v>41</v>
      </c>
    </row>
    <row r="446" spans="1:12" x14ac:dyDescent="0.25">
      <c r="E446" s="1" t="s">
        <v>118</v>
      </c>
      <c r="F446" s="1" t="s">
        <v>21</v>
      </c>
      <c r="G446" s="1" t="s">
        <v>51</v>
      </c>
      <c r="H446" s="11" t="s">
        <v>541</v>
      </c>
    </row>
    <row r="447" spans="1:12" ht="27" x14ac:dyDescent="0.25">
      <c r="B447" s="5" t="s">
        <v>542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spans="1:12" x14ac:dyDescent="0.25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543</v>
      </c>
      <c r="J448" s="1" t="s">
        <v>112</v>
      </c>
      <c r="L448" s="1" t="s">
        <v>544</v>
      </c>
    </row>
    <row r="449" spans="1:12" x14ac:dyDescent="0.25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>$B$435</f>
        <v>OMOP Follow Up Visit Occurrence</v>
      </c>
      <c r="K449" s="1" t="s">
        <v>41</v>
      </c>
    </row>
    <row r="450" spans="1:12" x14ac:dyDescent="0.25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spans="1:12" x14ac:dyDescent="0.25">
      <c r="E451" s="1" t="s">
        <v>115</v>
      </c>
      <c r="F451" s="1" t="s">
        <v>89</v>
      </c>
      <c r="G451" s="1" t="s">
        <v>51</v>
      </c>
      <c r="H451" s="18" t="s">
        <v>545</v>
      </c>
      <c r="K451" s="1" t="s">
        <v>41</v>
      </c>
    </row>
    <row r="452" spans="1:12" x14ac:dyDescent="0.25">
      <c r="E452" s="1" t="s">
        <v>118</v>
      </c>
      <c r="F452" s="1" t="s">
        <v>21</v>
      </c>
      <c r="G452" s="1" t="s">
        <v>51</v>
      </c>
      <c r="H452" s="18" t="s">
        <v>545</v>
      </c>
    </row>
    <row r="453" spans="1:12" ht="27" x14ac:dyDescent="0.25">
      <c r="B453" s="5" t="s">
        <v>546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spans="1:12" x14ac:dyDescent="0.25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547</v>
      </c>
      <c r="J454" s="1" t="s">
        <v>112</v>
      </c>
      <c r="L454" s="1" t="s">
        <v>548</v>
      </c>
    </row>
    <row r="455" spans="1:12" x14ac:dyDescent="0.25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>$B$435</f>
        <v>OMOP Follow Up Visit Occurrence</v>
      </c>
      <c r="K455" s="1" t="s">
        <v>41</v>
      </c>
    </row>
    <row r="456" spans="1:12" x14ac:dyDescent="0.25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spans="1:12" x14ac:dyDescent="0.25">
      <c r="E457" s="1" t="s">
        <v>115</v>
      </c>
      <c r="F457" s="1" t="s">
        <v>141</v>
      </c>
      <c r="G457" s="1" t="s">
        <v>51</v>
      </c>
      <c r="H457" s="11" t="s">
        <v>549</v>
      </c>
      <c r="J457" s="1" t="s">
        <v>418</v>
      </c>
      <c r="K457" s="1" t="s">
        <v>41</v>
      </c>
    </row>
    <row r="458" spans="1:12" x14ac:dyDescent="0.25">
      <c r="E458" s="1" t="s">
        <v>118</v>
      </c>
      <c r="F458" s="1" t="s">
        <v>21</v>
      </c>
      <c r="G458" s="1" t="s">
        <v>51</v>
      </c>
      <c r="H458" s="11" t="s">
        <v>549</v>
      </c>
    </row>
    <row r="459" spans="1:12" ht="27" x14ac:dyDescent="0.25">
      <c r="B459" s="5" t="s">
        <v>550</v>
      </c>
      <c r="G459" s="1" t="s">
        <v>51</v>
      </c>
      <c r="H459" s="19" t="s">
        <v>551</v>
      </c>
    </row>
    <row r="460" spans="1:12" ht="27" x14ac:dyDescent="0.25">
      <c r="A460" s="4" t="s">
        <v>552</v>
      </c>
      <c r="B460" s="5" t="s">
        <v>528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spans="1:12" x14ac:dyDescent="0.25">
      <c r="B461" s="1"/>
      <c r="D461" s="1" t="s">
        <v>27</v>
      </c>
      <c r="E461" s="1" t="s">
        <v>529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spans="1:12" x14ac:dyDescent="0.25">
      <c r="E462" s="1" t="s">
        <v>530</v>
      </c>
      <c r="F462" s="1" t="s">
        <v>16</v>
      </c>
      <c r="G462" s="1" t="s">
        <v>17</v>
      </c>
      <c r="H462" s="4" t="s">
        <v>17</v>
      </c>
      <c r="I462" s="6" t="s">
        <v>531</v>
      </c>
      <c r="J462" s="1" t="s">
        <v>532</v>
      </c>
      <c r="L462" s="1" t="s">
        <v>533</v>
      </c>
    </row>
    <row r="463" spans="1:12" x14ac:dyDescent="0.25">
      <c r="E463" s="1" t="s">
        <v>534</v>
      </c>
      <c r="F463" s="1" t="s">
        <v>123</v>
      </c>
      <c r="G463" s="1" t="s">
        <v>51</v>
      </c>
      <c r="H463" s="13" t="s">
        <v>535</v>
      </c>
      <c r="K463" s="1" t="s">
        <v>125</v>
      </c>
    </row>
    <row r="464" spans="1:12" x14ac:dyDescent="0.25">
      <c r="E464" s="1" t="s">
        <v>536</v>
      </c>
      <c r="F464" s="1" t="s">
        <v>123</v>
      </c>
      <c r="G464" s="1" t="s">
        <v>51</v>
      </c>
      <c r="H464" s="13" t="s">
        <v>535</v>
      </c>
      <c r="I464" s="17"/>
      <c r="K464" s="1" t="s">
        <v>125</v>
      </c>
    </row>
    <row r="465" spans="2:12" ht="27" x14ac:dyDescent="0.25">
      <c r="B465" s="5" t="s">
        <v>537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spans="2:12" x14ac:dyDescent="0.25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538</v>
      </c>
      <c r="J466" s="1" t="s">
        <v>112</v>
      </c>
      <c r="L466" s="1" t="s">
        <v>539</v>
      </c>
    </row>
    <row r="467" spans="2:12" x14ac:dyDescent="0.25">
      <c r="E467" s="1" t="s">
        <v>20</v>
      </c>
      <c r="F467" s="1" t="s">
        <v>123</v>
      </c>
      <c r="G467" s="1" t="s">
        <v>51</v>
      </c>
      <c r="H467" s="11" t="s">
        <v>540</v>
      </c>
      <c r="K467" s="1" t="s">
        <v>125</v>
      </c>
    </row>
    <row r="468" spans="2:12" x14ac:dyDescent="0.25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>$B$435</f>
        <v>OMOP Follow Up Visit Occurrence</v>
      </c>
    </row>
    <row r="469" spans="2:12" x14ac:dyDescent="0.25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spans="2:12" x14ac:dyDescent="0.25">
      <c r="E470" s="1" t="s">
        <v>115</v>
      </c>
      <c r="F470" s="1" t="s">
        <v>89</v>
      </c>
      <c r="G470" s="1" t="s">
        <v>51</v>
      </c>
      <c r="H470" s="11" t="s">
        <v>541</v>
      </c>
      <c r="K470" s="1" t="s">
        <v>41</v>
      </c>
    </row>
    <row r="471" spans="2:12" x14ac:dyDescent="0.25">
      <c r="E471" s="1" t="s">
        <v>118</v>
      </c>
      <c r="F471" s="1" t="s">
        <v>21</v>
      </c>
      <c r="G471" s="1" t="s">
        <v>51</v>
      </c>
      <c r="H471" s="11" t="s">
        <v>541</v>
      </c>
    </row>
    <row r="472" spans="2:12" ht="27" x14ac:dyDescent="0.25">
      <c r="B472" s="5" t="s">
        <v>542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spans="2:12" x14ac:dyDescent="0.25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543</v>
      </c>
      <c r="J473" s="1" t="s">
        <v>112</v>
      </c>
      <c r="L473" s="1" t="s">
        <v>544</v>
      </c>
    </row>
    <row r="474" spans="2:12" x14ac:dyDescent="0.25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>$B$435</f>
        <v>OMOP Follow Up Visit Occurrence</v>
      </c>
      <c r="K474" s="1" t="s">
        <v>41</v>
      </c>
    </row>
    <row r="475" spans="2:12" x14ac:dyDescent="0.25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spans="2:12" x14ac:dyDescent="0.25">
      <c r="E476" s="1" t="s">
        <v>115</v>
      </c>
      <c r="F476" s="1" t="s">
        <v>89</v>
      </c>
      <c r="G476" s="1" t="s">
        <v>51</v>
      </c>
      <c r="H476" s="18" t="s">
        <v>545</v>
      </c>
      <c r="K476" s="1" t="s">
        <v>41</v>
      </c>
    </row>
    <row r="477" spans="2:12" x14ac:dyDescent="0.25">
      <c r="E477" s="1" t="s">
        <v>118</v>
      </c>
      <c r="F477" s="1" t="s">
        <v>21</v>
      </c>
      <c r="G477" s="1" t="s">
        <v>51</v>
      </c>
      <c r="H477" s="18" t="s">
        <v>545</v>
      </c>
    </row>
    <row r="478" spans="2:12" ht="27" x14ac:dyDescent="0.25">
      <c r="B478" s="5" t="s">
        <v>546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spans="2:12" x14ac:dyDescent="0.25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547</v>
      </c>
      <c r="J479" s="1" t="s">
        <v>112</v>
      </c>
      <c r="L479" s="1" t="s">
        <v>548</v>
      </c>
    </row>
    <row r="480" spans="2:12" x14ac:dyDescent="0.25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>$B$435</f>
        <v>OMOP Follow Up Visit Occurrence</v>
      </c>
      <c r="K480" s="1" t="s">
        <v>41</v>
      </c>
    </row>
    <row r="481" spans="1:12" x14ac:dyDescent="0.25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spans="1:12" x14ac:dyDescent="0.25">
      <c r="E482" s="1" t="s">
        <v>115</v>
      </c>
      <c r="F482" s="1" t="s">
        <v>141</v>
      </c>
      <c r="G482" s="1" t="s">
        <v>51</v>
      </c>
      <c r="H482" s="11" t="s">
        <v>549</v>
      </c>
      <c r="J482" s="1" t="s">
        <v>418</v>
      </c>
      <c r="K482" s="1" t="s">
        <v>41</v>
      </c>
    </row>
    <row r="483" spans="1:12" x14ac:dyDescent="0.25">
      <c r="E483" s="1" t="s">
        <v>118</v>
      </c>
      <c r="F483" s="1" t="s">
        <v>21</v>
      </c>
      <c r="G483" s="1" t="s">
        <v>51</v>
      </c>
      <c r="H483" s="11" t="s">
        <v>549</v>
      </c>
    </row>
    <row r="484" spans="1:12" ht="27" x14ac:dyDescent="0.25">
      <c r="B484" s="5" t="s">
        <v>553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>$B$65</f>
        <v>OMOP Primary Dx Episode</v>
      </c>
      <c r="K484" s="1" t="s">
        <v>41</v>
      </c>
    </row>
    <row r="485" spans="1:12" x14ac:dyDescent="0.25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>$B$435</f>
        <v>OMOP Follow Up Visit Occurrence</v>
      </c>
      <c r="K485" s="1" t="s">
        <v>41</v>
      </c>
    </row>
    <row r="486" spans="1:12" x14ac:dyDescent="0.25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spans="1:12" ht="27" x14ac:dyDescent="0.25">
      <c r="A487" s="4" t="s">
        <v>554</v>
      </c>
      <c r="B487" s="5" t="s">
        <v>528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spans="1:12" x14ac:dyDescent="0.25">
      <c r="B488" s="1"/>
      <c r="D488" s="1" t="s">
        <v>27</v>
      </c>
      <c r="E488" s="1" t="s">
        <v>529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spans="1:12" x14ac:dyDescent="0.25">
      <c r="E489" s="1" t="s">
        <v>530</v>
      </c>
      <c r="F489" s="1" t="s">
        <v>16</v>
      </c>
      <c r="G489" s="1" t="s">
        <v>17</v>
      </c>
      <c r="H489" s="4" t="s">
        <v>17</v>
      </c>
      <c r="I489" s="6" t="s">
        <v>531</v>
      </c>
      <c r="J489" s="1" t="s">
        <v>532</v>
      </c>
      <c r="L489" s="1" t="s">
        <v>533</v>
      </c>
    </row>
    <row r="490" spans="1:12" x14ac:dyDescent="0.25">
      <c r="E490" s="1" t="s">
        <v>534</v>
      </c>
      <c r="F490" s="1" t="s">
        <v>123</v>
      </c>
      <c r="G490" s="1" t="s">
        <v>51</v>
      </c>
      <c r="H490" s="13" t="s">
        <v>535</v>
      </c>
      <c r="K490" s="1" t="s">
        <v>125</v>
      </c>
    </row>
    <row r="491" spans="1:12" x14ac:dyDescent="0.25">
      <c r="E491" s="1" t="s">
        <v>536</v>
      </c>
      <c r="F491" s="1" t="s">
        <v>123</v>
      </c>
      <c r="G491" s="1" t="s">
        <v>51</v>
      </c>
      <c r="H491" s="13" t="s">
        <v>535</v>
      </c>
      <c r="I491" s="17"/>
      <c r="K491" s="1" t="s">
        <v>125</v>
      </c>
    </row>
    <row r="492" spans="1:12" ht="27" x14ac:dyDescent="0.25">
      <c r="B492" s="5" t="s">
        <v>537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spans="1:12" x14ac:dyDescent="0.25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538</v>
      </c>
      <c r="J493" s="1" t="s">
        <v>112</v>
      </c>
      <c r="L493" s="1" t="s">
        <v>539</v>
      </c>
    </row>
    <row r="494" spans="1:12" x14ac:dyDescent="0.25">
      <c r="E494" s="1" t="s">
        <v>20</v>
      </c>
      <c r="F494" s="1" t="s">
        <v>123</v>
      </c>
      <c r="G494" s="1" t="s">
        <v>51</v>
      </c>
      <c r="H494" s="11" t="s">
        <v>540</v>
      </c>
      <c r="K494" s="1" t="s">
        <v>125</v>
      </c>
    </row>
    <row r="495" spans="1:12" x14ac:dyDescent="0.25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>$B$435</f>
        <v>OMOP Follow Up Visit Occurrence</v>
      </c>
    </row>
    <row r="496" spans="1:12" x14ac:dyDescent="0.25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spans="2:12" x14ac:dyDescent="0.25">
      <c r="E497" s="1" t="s">
        <v>115</v>
      </c>
      <c r="F497" s="1" t="s">
        <v>89</v>
      </c>
      <c r="G497" s="1" t="s">
        <v>51</v>
      </c>
      <c r="H497" s="11" t="s">
        <v>541</v>
      </c>
      <c r="K497" s="1" t="s">
        <v>41</v>
      </c>
    </row>
    <row r="498" spans="2:12" x14ac:dyDescent="0.25">
      <c r="E498" s="1" t="s">
        <v>118</v>
      </c>
      <c r="F498" s="1" t="s">
        <v>21</v>
      </c>
      <c r="G498" s="1" t="s">
        <v>51</v>
      </c>
      <c r="H498" s="11" t="s">
        <v>541</v>
      </c>
    </row>
    <row r="499" spans="2:12" ht="27" x14ac:dyDescent="0.25">
      <c r="B499" s="5" t="s">
        <v>542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spans="2:12" x14ac:dyDescent="0.25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543</v>
      </c>
      <c r="J500" s="1" t="s">
        <v>112</v>
      </c>
      <c r="L500" s="1" t="s">
        <v>544</v>
      </c>
    </row>
    <row r="501" spans="2:12" x14ac:dyDescent="0.25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>$B$435</f>
        <v>OMOP Follow Up Visit Occurrence</v>
      </c>
      <c r="K501" s="1" t="s">
        <v>41</v>
      </c>
    </row>
    <row r="502" spans="2:12" x14ac:dyDescent="0.25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spans="2:12" x14ac:dyDescent="0.25">
      <c r="E503" s="1" t="s">
        <v>115</v>
      </c>
      <c r="F503" s="1" t="s">
        <v>89</v>
      </c>
      <c r="G503" s="1" t="s">
        <v>51</v>
      </c>
      <c r="H503" s="18" t="s">
        <v>545</v>
      </c>
      <c r="K503" s="1" t="s">
        <v>41</v>
      </c>
    </row>
    <row r="504" spans="2:12" x14ac:dyDescent="0.25">
      <c r="E504" s="1" t="s">
        <v>118</v>
      </c>
      <c r="F504" s="1" t="s">
        <v>21</v>
      </c>
      <c r="G504" s="1" t="s">
        <v>51</v>
      </c>
      <c r="H504" s="18" t="s">
        <v>545</v>
      </c>
    </row>
    <row r="505" spans="2:12" ht="27" x14ac:dyDescent="0.25">
      <c r="B505" s="5" t="s">
        <v>546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spans="2:12" x14ac:dyDescent="0.25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547</v>
      </c>
      <c r="J506" s="1" t="s">
        <v>112</v>
      </c>
      <c r="L506" s="1" t="s">
        <v>548</v>
      </c>
    </row>
    <row r="507" spans="2:12" x14ac:dyDescent="0.25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>$B$435</f>
        <v>OMOP Follow Up Visit Occurrence</v>
      </c>
      <c r="K507" s="1" t="s">
        <v>41</v>
      </c>
    </row>
    <row r="508" spans="2:12" x14ac:dyDescent="0.25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spans="2:12" x14ac:dyDescent="0.25">
      <c r="E509" s="1" t="s">
        <v>115</v>
      </c>
      <c r="F509" s="1" t="s">
        <v>141</v>
      </c>
      <c r="G509" s="1" t="s">
        <v>51</v>
      </c>
      <c r="H509" s="11" t="s">
        <v>549</v>
      </c>
      <c r="J509" s="1" t="s">
        <v>418</v>
      </c>
      <c r="K509" s="1" t="s">
        <v>41</v>
      </c>
    </row>
    <row r="510" spans="2:12" x14ac:dyDescent="0.25">
      <c r="E510" s="1" t="s">
        <v>118</v>
      </c>
      <c r="F510" s="1" t="s">
        <v>21</v>
      </c>
      <c r="G510" s="1" t="s">
        <v>51</v>
      </c>
      <c r="H510" s="11" t="s">
        <v>549</v>
      </c>
    </row>
    <row r="511" spans="2:12" ht="27" x14ac:dyDescent="0.25">
      <c r="B511" s="5" t="s">
        <v>555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>$B$156</f>
        <v>OMOP Treatment Episode</v>
      </c>
      <c r="K511" s="1" t="s">
        <v>41</v>
      </c>
    </row>
    <row r="512" spans="2:12" x14ac:dyDescent="0.25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>$B$435</f>
        <v>OMOP Follow Up Visit Occurrence</v>
      </c>
      <c r="K512" s="1" t="s">
        <v>41</v>
      </c>
    </row>
    <row r="513" spans="1:12" x14ac:dyDescent="0.25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spans="1:12" ht="27" x14ac:dyDescent="0.25">
      <c r="A514" s="4" t="s">
        <v>556</v>
      </c>
      <c r="B514" s="5" t="s">
        <v>557</v>
      </c>
      <c r="D514" s="1" t="s">
        <v>29</v>
      </c>
      <c r="E514" s="1" t="s">
        <v>168</v>
      </c>
      <c r="F514" s="1" t="s">
        <v>277</v>
      </c>
      <c r="G514" s="1" t="s">
        <v>39</v>
      </c>
      <c r="H514" s="4" t="s">
        <v>40</v>
      </c>
      <c r="K514" s="1" t="s">
        <v>41</v>
      </c>
    </row>
    <row r="515" spans="1:12" x14ac:dyDescent="0.25">
      <c r="E515" s="1" t="s">
        <v>169</v>
      </c>
      <c r="F515" s="1" t="s">
        <v>16</v>
      </c>
      <c r="G515" s="1" t="s">
        <v>17</v>
      </c>
      <c r="H515" s="4" t="s">
        <v>17</v>
      </c>
      <c r="I515" s="6" t="s">
        <v>558</v>
      </c>
      <c r="J515" s="1" t="s">
        <v>112</v>
      </c>
      <c r="L515" s="1" t="s">
        <v>559</v>
      </c>
    </row>
    <row r="516" spans="1:12" x14ac:dyDescent="0.25">
      <c r="E516" s="1" t="s">
        <v>31</v>
      </c>
      <c r="F516" s="1" t="s">
        <v>123</v>
      </c>
      <c r="G516" s="1" t="s">
        <v>560</v>
      </c>
      <c r="H516" s="18" t="s">
        <v>561</v>
      </c>
      <c r="K516" s="1" t="s">
        <v>125</v>
      </c>
    </row>
    <row r="517" spans="1:12" x14ac:dyDescent="0.25">
      <c r="E517" s="1" t="s">
        <v>363</v>
      </c>
      <c r="F517" s="1" t="s">
        <v>21</v>
      </c>
      <c r="G517" s="1" t="s">
        <v>560</v>
      </c>
      <c r="H517" s="11" t="s">
        <v>562</v>
      </c>
      <c r="K517" s="1" t="s">
        <v>41</v>
      </c>
    </row>
    <row r="518" spans="1:12" x14ac:dyDescent="0.25">
      <c r="E518" s="1" t="s">
        <v>366</v>
      </c>
      <c r="F518" s="1" t="s">
        <v>16</v>
      </c>
      <c r="G518" s="1" t="s">
        <v>17</v>
      </c>
      <c r="H518" s="4" t="s">
        <v>17</v>
      </c>
      <c r="I518" s="6" t="s">
        <v>563</v>
      </c>
      <c r="J518" s="1" t="s">
        <v>112</v>
      </c>
      <c r="L518" s="1" t="s">
        <v>564</v>
      </c>
    </row>
    <row r="519" spans="1:12" ht="27" x14ac:dyDescent="0.25">
      <c r="B519" s="5" t="s">
        <v>565</v>
      </c>
      <c r="D519" s="1" t="s">
        <v>29</v>
      </c>
      <c r="E519" s="1" t="s">
        <v>168</v>
      </c>
      <c r="F519" s="1" t="s">
        <v>277</v>
      </c>
      <c r="G519" s="1" t="s">
        <v>39</v>
      </c>
      <c r="H519" s="4" t="s">
        <v>40</v>
      </c>
      <c r="K519" s="1" t="s">
        <v>41</v>
      </c>
    </row>
    <row r="520" spans="1:12" x14ac:dyDescent="0.25">
      <c r="E520" s="1" t="s">
        <v>169</v>
      </c>
      <c r="F520" s="1" t="s">
        <v>16</v>
      </c>
      <c r="G520" s="1" t="s">
        <v>17</v>
      </c>
      <c r="H520" s="4" t="s">
        <v>17</v>
      </c>
      <c r="I520" s="6" t="s">
        <v>566</v>
      </c>
      <c r="J520" s="1" t="s">
        <v>112</v>
      </c>
      <c r="L520" s="1" t="s">
        <v>567</v>
      </c>
    </row>
    <row r="521" spans="1:12" x14ac:dyDescent="0.25">
      <c r="E521" s="1" t="s">
        <v>31</v>
      </c>
      <c r="F521" s="1" t="s">
        <v>123</v>
      </c>
      <c r="G521" s="1" t="s">
        <v>560</v>
      </c>
      <c r="H521" s="18" t="s">
        <v>561</v>
      </c>
      <c r="K521" s="1" t="s">
        <v>125</v>
      </c>
    </row>
    <row r="522" spans="1:12" x14ac:dyDescent="0.25">
      <c r="E522" s="1" t="s">
        <v>363</v>
      </c>
      <c r="F522" s="1" t="s">
        <v>21</v>
      </c>
      <c r="G522" s="1" t="s">
        <v>560</v>
      </c>
      <c r="H522" s="11" t="s">
        <v>568</v>
      </c>
      <c r="K522" s="1" t="s">
        <v>41</v>
      </c>
    </row>
    <row r="523" spans="1:12" x14ac:dyDescent="0.25">
      <c r="E523" s="1" t="s">
        <v>366</v>
      </c>
      <c r="F523" s="1" t="s">
        <v>16</v>
      </c>
      <c r="G523" s="1" t="s">
        <v>17</v>
      </c>
      <c r="H523" s="4" t="s">
        <v>17</v>
      </c>
      <c r="I523" s="6" t="s">
        <v>569</v>
      </c>
      <c r="J523" s="1" t="s">
        <v>112</v>
      </c>
      <c r="L523" s="1" t="s">
        <v>570</v>
      </c>
    </row>
    <row r="524" spans="1:12" ht="27" x14ac:dyDescent="0.25">
      <c r="B524" s="5" t="s">
        <v>571</v>
      </c>
      <c r="D524" s="1" t="s">
        <v>29</v>
      </c>
      <c r="E524" s="1" t="s">
        <v>168</v>
      </c>
      <c r="F524" s="1" t="s">
        <v>277</v>
      </c>
      <c r="G524" s="1" t="s">
        <v>39</v>
      </c>
      <c r="H524" s="4" t="s">
        <v>40</v>
      </c>
      <c r="K524" s="1" t="s">
        <v>41</v>
      </c>
    </row>
    <row r="525" spans="1:12" x14ac:dyDescent="0.25">
      <c r="E525" s="1" t="s">
        <v>169</v>
      </c>
      <c r="F525" s="1" t="s">
        <v>16</v>
      </c>
      <c r="G525" s="1" t="s">
        <v>17</v>
      </c>
      <c r="H525" s="4" t="s">
        <v>17</v>
      </c>
      <c r="I525" s="6" t="s">
        <v>572</v>
      </c>
      <c r="J525" s="1" t="s">
        <v>112</v>
      </c>
      <c r="L525" s="1" t="s">
        <v>573</v>
      </c>
    </row>
    <row r="526" spans="1:12" x14ac:dyDescent="0.25">
      <c r="E526" s="1" t="s">
        <v>31</v>
      </c>
      <c r="F526" s="1" t="s">
        <v>123</v>
      </c>
      <c r="G526" s="1" t="s">
        <v>560</v>
      </c>
      <c r="H526" s="18" t="s">
        <v>561</v>
      </c>
      <c r="K526" s="1" t="s">
        <v>125</v>
      </c>
    </row>
    <row r="527" spans="1:12" x14ac:dyDescent="0.25">
      <c r="E527" s="1" t="s">
        <v>363</v>
      </c>
      <c r="F527" s="1" t="s">
        <v>21</v>
      </c>
      <c r="G527" s="1" t="s">
        <v>560</v>
      </c>
      <c r="H527" s="11" t="s">
        <v>574</v>
      </c>
      <c r="K527" s="1" t="s">
        <v>41</v>
      </c>
    </row>
    <row r="528" spans="1:12" x14ac:dyDescent="0.25">
      <c r="E528" s="1" t="s">
        <v>366</v>
      </c>
      <c r="F528" s="1" t="s">
        <v>16</v>
      </c>
      <c r="G528" s="1" t="s">
        <v>17</v>
      </c>
      <c r="H528" s="4" t="s">
        <v>17</v>
      </c>
      <c r="I528" s="6" t="s">
        <v>563</v>
      </c>
      <c r="J528" s="1" t="s">
        <v>112</v>
      </c>
      <c r="L528" s="1" t="s">
        <v>564</v>
      </c>
    </row>
    <row r="529" spans="2:12" ht="27" x14ac:dyDescent="0.25">
      <c r="B529" s="5" t="s">
        <v>575</v>
      </c>
      <c r="D529" s="1" t="s">
        <v>29</v>
      </c>
      <c r="E529" s="1" t="s">
        <v>168</v>
      </c>
      <c r="F529" s="1" t="s">
        <v>277</v>
      </c>
      <c r="G529" s="1" t="s">
        <v>39</v>
      </c>
      <c r="H529" s="4" t="s">
        <v>40</v>
      </c>
      <c r="K529" s="1" t="s">
        <v>41</v>
      </c>
    </row>
    <row r="530" spans="2:12" x14ac:dyDescent="0.25">
      <c r="E530" s="1" t="s">
        <v>169</v>
      </c>
      <c r="F530" s="1" t="s">
        <v>16</v>
      </c>
      <c r="G530" s="1" t="s">
        <v>17</v>
      </c>
      <c r="H530" s="4" t="s">
        <v>17</v>
      </c>
      <c r="I530" s="6" t="s">
        <v>576</v>
      </c>
      <c r="J530" s="1" t="s">
        <v>112</v>
      </c>
      <c r="L530" s="1" t="s">
        <v>577</v>
      </c>
    </row>
    <row r="531" spans="2:12" x14ac:dyDescent="0.25">
      <c r="E531" s="1" t="s">
        <v>31</v>
      </c>
      <c r="F531" s="1" t="s">
        <v>123</v>
      </c>
      <c r="G531" s="1" t="s">
        <v>560</v>
      </c>
      <c r="H531" s="18" t="s">
        <v>561</v>
      </c>
      <c r="K531" s="1" t="s">
        <v>125</v>
      </c>
    </row>
    <row r="532" spans="2:12" x14ac:dyDescent="0.25">
      <c r="E532" s="1" t="s">
        <v>115</v>
      </c>
      <c r="F532" s="1" t="s">
        <v>89</v>
      </c>
      <c r="G532" s="1" t="s">
        <v>560</v>
      </c>
      <c r="H532" s="11" t="s">
        <v>578</v>
      </c>
      <c r="K532" s="1" t="s">
        <v>41</v>
      </c>
    </row>
    <row r="533" spans="2:12" x14ac:dyDescent="0.25">
      <c r="E533" s="1" t="s">
        <v>363</v>
      </c>
      <c r="F533" s="1" t="s">
        <v>21</v>
      </c>
      <c r="G533" s="1" t="s">
        <v>560</v>
      </c>
      <c r="H533" s="11" t="s">
        <v>579</v>
      </c>
    </row>
    <row r="534" spans="2:12" x14ac:dyDescent="0.25">
      <c r="E534" s="1" t="s">
        <v>366</v>
      </c>
      <c r="F534" s="1" t="s">
        <v>16</v>
      </c>
      <c r="G534" s="1" t="s">
        <v>17</v>
      </c>
      <c r="H534" s="4" t="s">
        <v>17</v>
      </c>
      <c r="I534" s="6" t="s">
        <v>580</v>
      </c>
      <c r="J534" s="1" t="s">
        <v>112</v>
      </c>
      <c r="L534" s="1" t="s">
        <v>581</v>
      </c>
    </row>
    <row r="535" spans="2:12" ht="27" x14ac:dyDescent="0.25">
      <c r="B535" s="5" t="s">
        <v>582</v>
      </c>
      <c r="D535" s="1" t="s">
        <v>29</v>
      </c>
      <c r="E535" s="1" t="s">
        <v>168</v>
      </c>
      <c r="F535" s="1" t="s">
        <v>277</v>
      </c>
      <c r="G535" s="1" t="s">
        <v>39</v>
      </c>
      <c r="H535" s="4" t="s">
        <v>40</v>
      </c>
      <c r="K535" s="1" t="s">
        <v>41</v>
      </c>
    </row>
    <row r="536" spans="2:12" ht="30" x14ac:dyDescent="0.25">
      <c r="E536" s="1" t="s">
        <v>169</v>
      </c>
      <c r="F536" s="1" t="s">
        <v>16</v>
      </c>
      <c r="G536" s="1" t="s">
        <v>17</v>
      </c>
      <c r="H536" s="4" t="s">
        <v>17</v>
      </c>
      <c r="I536" s="20">
        <v>4030384</v>
      </c>
      <c r="J536" s="1" t="s">
        <v>112</v>
      </c>
      <c r="L536" s="21" t="s">
        <v>583</v>
      </c>
    </row>
    <row r="537" spans="2:12" x14ac:dyDescent="0.25">
      <c r="E537" s="1" t="s">
        <v>31</v>
      </c>
      <c r="F537" s="1" t="s">
        <v>123</v>
      </c>
      <c r="G537" s="1" t="s">
        <v>560</v>
      </c>
      <c r="H537" s="18" t="s">
        <v>561</v>
      </c>
      <c r="K537" s="1" t="s">
        <v>125</v>
      </c>
    </row>
    <row r="538" spans="2:12" x14ac:dyDescent="0.25">
      <c r="E538" s="1" t="s">
        <v>115</v>
      </c>
      <c r="F538" s="1" t="s">
        <v>89</v>
      </c>
      <c r="G538" s="1" t="s">
        <v>560</v>
      </c>
      <c r="H538" s="11" t="s">
        <v>584</v>
      </c>
      <c r="K538" s="1" t="s">
        <v>41</v>
      </c>
    </row>
    <row r="539" spans="2:12" x14ac:dyDescent="0.25">
      <c r="E539" s="1" t="s">
        <v>363</v>
      </c>
      <c r="F539" s="1" t="s">
        <v>21</v>
      </c>
      <c r="G539" s="1" t="s">
        <v>560</v>
      </c>
      <c r="H539" s="11" t="s">
        <v>585</v>
      </c>
    </row>
    <row r="540" spans="2:12" x14ac:dyDescent="0.25">
      <c r="E540" s="1" t="s">
        <v>366</v>
      </c>
      <c r="F540" s="1" t="s">
        <v>16</v>
      </c>
      <c r="G540" s="1" t="s">
        <v>17</v>
      </c>
      <c r="H540" s="4" t="s">
        <v>17</v>
      </c>
      <c r="I540" s="6" t="s">
        <v>580</v>
      </c>
      <c r="J540" s="1" t="s">
        <v>112</v>
      </c>
      <c r="L540" s="1" t="s">
        <v>581</v>
      </c>
    </row>
    <row r="541" spans="2:12" ht="27" x14ac:dyDescent="0.25">
      <c r="B541" s="5" t="s">
        <v>586</v>
      </c>
      <c r="D541" s="1" t="s">
        <v>29</v>
      </c>
      <c r="E541" s="1" t="s">
        <v>168</v>
      </c>
      <c r="F541" s="1" t="s">
        <v>277</v>
      </c>
      <c r="G541" s="1" t="s">
        <v>39</v>
      </c>
      <c r="H541" s="4" t="s">
        <v>40</v>
      </c>
      <c r="K541" s="1" t="s">
        <v>41</v>
      </c>
    </row>
    <row r="542" spans="2:12" x14ac:dyDescent="0.25">
      <c r="E542" s="1" t="s">
        <v>169</v>
      </c>
      <c r="F542" s="1" t="s">
        <v>16</v>
      </c>
      <c r="G542" s="1" t="s">
        <v>17</v>
      </c>
      <c r="H542" s="4" t="s">
        <v>17</v>
      </c>
      <c r="I542" s="6" t="s">
        <v>587</v>
      </c>
      <c r="J542" s="1" t="s">
        <v>177</v>
      </c>
      <c r="L542" s="1" t="s">
        <v>588</v>
      </c>
    </row>
    <row r="543" spans="2:12" x14ac:dyDescent="0.25">
      <c r="E543" s="1" t="s">
        <v>31</v>
      </c>
      <c r="F543" s="1" t="s">
        <v>123</v>
      </c>
      <c r="G543" s="1" t="s">
        <v>560</v>
      </c>
      <c r="H543" s="18" t="s">
        <v>561</v>
      </c>
      <c r="K543" s="1" t="s">
        <v>125</v>
      </c>
    </row>
    <row r="544" spans="2:12" x14ac:dyDescent="0.25">
      <c r="E544" s="1" t="s">
        <v>115</v>
      </c>
      <c r="F544" s="1" t="s">
        <v>89</v>
      </c>
      <c r="G544" s="1" t="s">
        <v>560</v>
      </c>
      <c r="H544" s="11" t="s">
        <v>589</v>
      </c>
      <c r="K544" s="1" t="s">
        <v>41</v>
      </c>
    </row>
    <row r="545" spans="2:12" ht="27" x14ac:dyDescent="0.25">
      <c r="B545" s="5" t="s">
        <v>590</v>
      </c>
      <c r="D545" s="1" t="s">
        <v>29</v>
      </c>
      <c r="E545" s="1" t="s">
        <v>168</v>
      </c>
      <c r="F545" s="1" t="s">
        <v>277</v>
      </c>
      <c r="G545" s="1" t="s">
        <v>39</v>
      </c>
      <c r="H545" s="4" t="s">
        <v>40</v>
      </c>
      <c r="K545" s="1" t="s">
        <v>41</v>
      </c>
    </row>
    <row r="546" spans="2:12" x14ac:dyDescent="0.25">
      <c r="E546" s="1" t="s">
        <v>169</v>
      </c>
      <c r="F546" s="1" t="s">
        <v>16</v>
      </c>
      <c r="G546" s="1" t="s">
        <v>17</v>
      </c>
      <c r="H546" s="4" t="s">
        <v>17</v>
      </c>
      <c r="I546" s="6" t="s">
        <v>591</v>
      </c>
      <c r="J546" s="1" t="s">
        <v>177</v>
      </c>
      <c r="L546" s="1" t="s">
        <v>592</v>
      </c>
    </row>
    <row r="547" spans="2:12" x14ac:dyDescent="0.25">
      <c r="E547" s="1" t="s">
        <v>31</v>
      </c>
      <c r="F547" s="1" t="s">
        <v>123</v>
      </c>
      <c r="G547" s="1" t="s">
        <v>560</v>
      </c>
      <c r="H547" s="18" t="s">
        <v>561</v>
      </c>
      <c r="K547" s="1" t="s">
        <v>125</v>
      </c>
    </row>
    <row r="548" spans="2:12" x14ac:dyDescent="0.25">
      <c r="E548" s="1" t="s">
        <v>115</v>
      </c>
      <c r="F548" s="1" t="s">
        <v>89</v>
      </c>
      <c r="G548" s="1" t="s">
        <v>560</v>
      </c>
      <c r="H548" s="11" t="s">
        <v>593</v>
      </c>
      <c r="K548" s="1" t="s">
        <v>41</v>
      </c>
    </row>
    <row r="549" spans="2:12" ht="27" x14ac:dyDescent="0.25">
      <c r="B549" s="5" t="s">
        <v>594</v>
      </c>
      <c r="D549" s="1" t="s">
        <v>14</v>
      </c>
      <c r="E549" s="1" t="s">
        <v>110</v>
      </c>
      <c r="F549" s="1" t="s">
        <v>277</v>
      </c>
      <c r="G549" s="1" t="s">
        <v>39</v>
      </c>
      <c r="H549" s="4" t="s">
        <v>40</v>
      </c>
      <c r="K549" s="1" t="s">
        <v>41</v>
      </c>
    </row>
    <row r="550" spans="2:12" x14ac:dyDescent="0.25">
      <c r="E550" s="1" t="s">
        <v>111</v>
      </c>
      <c r="F550" s="1" t="s">
        <v>16</v>
      </c>
      <c r="G550" s="1" t="s">
        <v>17</v>
      </c>
      <c r="H550" s="4" t="s">
        <v>17</v>
      </c>
      <c r="I550" s="6" t="s">
        <v>595</v>
      </c>
      <c r="J550" s="1" t="s">
        <v>112</v>
      </c>
      <c r="L550" s="1" t="s">
        <v>596</v>
      </c>
    </row>
    <row r="551" spans="2:12" x14ac:dyDescent="0.25">
      <c r="E551" s="1" t="s">
        <v>20</v>
      </c>
      <c r="F551" s="1" t="s">
        <v>123</v>
      </c>
      <c r="G551" s="1" t="s">
        <v>560</v>
      </c>
      <c r="H551" s="18" t="s">
        <v>561</v>
      </c>
      <c r="K551" s="1" t="s">
        <v>125</v>
      </c>
    </row>
    <row r="552" spans="2:12" x14ac:dyDescent="0.25">
      <c r="E552" s="1" t="s">
        <v>115</v>
      </c>
      <c r="F552" s="1" t="s">
        <v>89</v>
      </c>
      <c r="G552" s="1" t="s">
        <v>560</v>
      </c>
      <c r="H552" s="11" t="s">
        <v>597</v>
      </c>
      <c r="K552" s="1" t="s">
        <v>41</v>
      </c>
    </row>
    <row r="553" spans="2:12" x14ac:dyDescent="0.25">
      <c r="E553" s="1" t="s">
        <v>118</v>
      </c>
      <c r="F553" s="1" t="s">
        <v>21</v>
      </c>
      <c r="G553" s="1" t="s">
        <v>560</v>
      </c>
      <c r="H553" s="11" t="s">
        <v>597</v>
      </c>
    </row>
    <row r="554" spans="2:12" x14ac:dyDescent="0.25">
      <c r="E554" s="1" t="s">
        <v>216</v>
      </c>
      <c r="F554" s="1" t="s">
        <v>16</v>
      </c>
      <c r="G554" s="1" t="s">
        <v>17</v>
      </c>
      <c r="H554" s="1" t="s">
        <v>17</v>
      </c>
      <c r="I554" s="3" t="s">
        <v>598</v>
      </c>
      <c r="J554" s="1" t="s">
        <v>112</v>
      </c>
      <c r="L554" s="1" t="s">
        <v>599</v>
      </c>
    </row>
    <row r="555" spans="2:12" ht="27" x14ac:dyDescent="0.25">
      <c r="B555" s="5" t="s">
        <v>600</v>
      </c>
      <c r="D555" s="1" t="s">
        <v>14</v>
      </c>
      <c r="E555" s="1" t="s">
        <v>110</v>
      </c>
      <c r="F555" s="1" t="s">
        <v>277</v>
      </c>
      <c r="G555" s="1" t="s">
        <v>39</v>
      </c>
      <c r="H555" s="4" t="s">
        <v>40</v>
      </c>
      <c r="K555" s="1" t="s">
        <v>41</v>
      </c>
    </row>
    <row r="556" spans="2:12" x14ac:dyDescent="0.25">
      <c r="E556" s="1" t="s">
        <v>111</v>
      </c>
      <c r="F556" s="1" t="s">
        <v>16</v>
      </c>
      <c r="G556" s="1" t="s">
        <v>17</v>
      </c>
      <c r="H556" s="4" t="s">
        <v>17</v>
      </c>
      <c r="I556" s="6" t="s">
        <v>595</v>
      </c>
      <c r="J556" s="1" t="s">
        <v>112</v>
      </c>
      <c r="L556" s="1" t="s">
        <v>596</v>
      </c>
    </row>
    <row r="557" spans="2:12" x14ac:dyDescent="0.25">
      <c r="E557" s="1" t="s">
        <v>20</v>
      </c>
      <c r="F557" s="1" t="s">
        <v>123</v>
      </c>
      <c r="G557" s="1" t="s">
        <v>560</v>
      </c>
      <c r="H557" s="18" t="s">
        <v>561</v>
      </c>
      <c r="K557" s="1" t="s">
        <v>125</v>
      </c>
    </row>
    <row r="558" spans="2:12" x14ac:dyDescent="0.25">
      <c r="E558" s="1" t="s">
        <v>115</v>
      </c>
      <c r="F558" s="1" t="s">
        <v>89</v>
      </c>
      <c r="G558" s="1" t="s">
        <v>560</v>
      </c>
      <c r="H558" s="11" t="s">
        <v>601</v>
      </c>
      <c r="K558" s="1" t="s">
        <v>41</v>
      </c>
    </row>
    <row r="559" spans="2:12" x14ac:dyDescent="0.25">
      <c r="E559" s="1" t="s">
        <v>118</v>
      </c>
      <c r="F559" s="1" t="s">
        <v>21</v>
      </c>
      <c r="G559" s="1" t="s">
        <v>560</v>
      </c>
      <c r="H559" s="11" t="s">
        <v>601</v>
      </c>
    </row>
    <row r="560" spans="2:12" ht="15" x14ac:dyDescent="0.25">
      <c r="E560" s="1" t="s">
        <v>216</v>
      </c>
      <c r="F560" s="1" t="s">
        <v>16</v>
      </c>
      <c r="G560" s="1" t="s">
        <v>17</v>
      </c>
      <c r="H560" s="1" t="s">
        <v>17</v>
      </c>
      <c r="I560" s="20">
        <v>4120014</v>
      </c>
      <c r="J560" s="1" t="s">
        <v>112</v>
      </c>
      <c r="L560" s="1" t="s">
        <v>602</v>
      </c>
    </row>
    <row r="561" spans="1:12" x14ac:dyDescent="0.25">
      <c r="D561" s="1" t="s">
        <v>64</v>
      </c>
      <c r="E561" s="1" t="s">
        <v>17</v>
      </c>
      <c r="F561" s="1" t="s">
        <v>75</v>
      </c>
      <c r="G561" s="1" t="s">
        <v>560</v>
      </c>
      <c r="H561" s="18" t="s">
        <v>561</v>
      </c>
    </row>
    <row r="562" spans="1:12" ht="27" x14ac:dyDescent="0.25">
      <c r="A562" s="4" t="s">
        <v>603</v>
      </c>
      <c r="B562" s="5" t="s">
        <v>604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spans="1:12" ht="15" x14ac:dyDescent="0.25">
      <c r="E563" s="1" t="s">
        <v>169</v>
      </c>
      <c r="F563" s="1" t="s">
        <v>16</v>
      </c>
      <c r="G563" s="1" t="s">
        <v>17</v>
      </c>
      <c r="H563" s="4" t="s">
        <v>17</v>
      </c>
      <c r="I563" s="20">
        <v>4194639</v>
      </c>
      <c r="J563" s="1" t="s">
        <v>112</v>
      </c>
      <c r="L563" s="1" t="s">
        <v>605</v>
      </c>
    </row>
    <row r="564" spans="1:12" x14ac:dyDescent="0.25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648</v>
      </c>
      <c r="K564" s="1" t="s">
        <v>125</v>
      </c>
    </row>
    <row r="565" spans="1:12" x14ac:dyDescent="0.25">
      <c r="C565" s="1" t="s">
        <v>606</v>
      </c>
      <c r="E565" s="1" t="s">
        <v>115</v>
      </c>
      <c r="F565" s="1" t="s">
        <v>279</v>
      </c>
      <c r="G565" s="1" t="s">
        <v>560</v>
      </c>
      <c r="H565" s="11" t="s">
        <v>607</v>
      </c>
      <c r="K565" s="1" t="s">
        <v>41</v>
      </c>
    </row>
    <row r="566" spans="1:12" x14ac:dyDescent="0.25">
      <c r="C566" s="1" t="s">
        <v>608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spans="1:12" ht="27" x14ac:dyDescent="0.25">
      <c r="A567" s="4" t="s">
        <v>609</v>
      </c>
      <c r="B567" s="5" t="s">
        <v>610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spans="1:12" x14ac:dyDescent="0.25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611</v>
      </c>
      <c r="J568" s="1" t="s">
        <v>184</v>
      </c>
      <c r="L568" s="1" t="s">
        <v>612</v>
      </c>
    </row>
    <row r="569" spans="1:12" x14ac:dyDescent="0.25">
      <c r="E569" s="1" t="s">
        <v>115</v>
      </c>
      <c r="F569" s="1" t="s">
        <v>89</v>
      </c>
      <c r="G569" s="1" t="s">
        <v>613</v>
      </c>
      <c r="H569" s="11" t="s">
        <v>614</v>
      </c>
    </row>
    <row r="570" spans="1:12" x14ac:dyDescent="0.25">
      <c r="E570" s="1" t="s">
        <v>118</v>
      </c>
      <c r="F570" s="1" t="s">
        <v>21</v>
      </c>
      <c r="G570" s="1" t="s">
        <v>613</v>
      </c>
      <c r="H570" s="11" t="s">
        <v>614</v>
      </c>
    </row>
    <row r="571" spans="1:12" x14ac:dyDescent="0.25">
      <c r="D571" s="1" t="s">
        <v>64</v>
      </c>
      <c r="E571" s="1" t="s">
        <v>615</v>
      </c>
      <c r="F571" s="1" t="s">
        <v>292</v>
      </c>
      <c r="G571" s="1" t="s">
        <v>39</v>
      </c>
      <c r="H571" s="4" t="s">
        <v>40</v>
      </c>
      <c r="I571" s="3" t="str">
        <f>$B$567</f>
        <v>OMOP Tobacco Smoking Status Observation</v>
      </c>
    </row>
    <row r="572" spans="1:12" ht="27" x14ac:dyDescent="0.25">
      <c r="B572" s="5" t="s">
        <v>616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spans="1:12" x14ac:dyDescent="0.25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617</v>
      </c>
      <c r="J573" s="1" t="s">
        <v>112</v>
      </c>
      <c r="L573" s="1" t="s">
        <v>618</v>
      </c>
    </row>
    <row r="574" spans="1:12" x14ac:dyDescent="0.25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>$B$567</f>
        <v>OMOP Tobacco Smoking Status Observation</v>
      </c>
      <c r="K574" s="1" t="s">
        <v>41</v>
      </c>
    </row>
    <row r="575" spans="1:12" x14ac:dyDescent="0.25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619</v>
      </c>
      <c r="J575" s="1" t="s">
        <v>56</v>
      </c>
      <c r="L575" s="1" t="s">
        <v>620</v>
      </c>
    </row>
    <row r="576" spans="1:12" x14ac:dyDescent="0.25">
      <c r="E576" s="1" t="s">
        <v>363</v>
      </c>
      <c r="F576" s="1" t="s">
        <v>21</v>
      </c>
      <c r="G576" s="1" t="s">
        <v>613</v>
      </c>
      <c r="H576" s="11" t="s">
        <v>621</v>
      </c>
      <c r="K576" s="1" t="s">
        <v>41</v>
      </c>
    </row>
    <row r="577" spans="1:12" ht="27" x14ac:dyDescent="0.25">
      <c r="A577" s="4" t="s">
        <v>622</v>
      </c>
      <c r="B577" s="5" t="s">
        <v>623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spans="1:12" x14ac:dyDescent="0.25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624</v>
      </c>
      <c r="J578" s="1" t="s">
        <v>112</v>
      </c>
      <c r="L578" s="1" t="s">
        <v>625</v>
      </c>
    </row>
    <row r="579" spans="1:12" x14ac:dyDescent="0.25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615</v>
      </c>
    </row>
    <row r="580" spans="1:12" x14ac:dyDescent="0.25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619</v>
      </c>
      <c r="J580" s="1" t="s">
        <v>56</v>
      </c>
      <c r="L580" s="1" t="s">
        <v>620</v>
      </c>
    </row>
    <row r="581" spans="1:12" x14ac:dyDescent="0.25">
      <c r="E581" s="1" t="s">
        <v>115</v>
      </c>
      <c r="F581" s="1" t="s">
        <v>279</v>
      </c>
      <c r="G581" s="1" t="s">
        <v>613</v>
      </c>
      <c r="H581" s="11" t="s">
        <v>626</v>
      </c>
    </row>
    <row r="582" spans="1:12" x14ac:dyDescent="0.25">
      <c r="E582" s="1" t="s">
        <v>118</v>
      </c>
      <c r="F582" s="1" t="s">
        <v>283</v>
      </c>
      <c r="G582" s="1" t="s">
        <v>17</v>
      </c>
      <c r="H582" s="4" t="s">
        <v>17</v>
      </c>
    </row>
    <row r="583" spans="1:12" x14ac:dyDescent="0.25">
      <c r="A583" s="4" t="s">
        <v>627</v>
      </c>
      <c r="B583" s="5" t="s">
        <v>628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spans="1:12" x14ac:dyDescent="0.25">
      <c r="E584" s="1" t="s">
        <v>140</v>
      </c>
      <c r="F584" s="1" t="s">
        <v>141</v>
      </c>
      <c r="G584" s="1" t="s">
        <v>629</v>
      </c>
      <c r="H584" s="11" t="s">
        <v>630</v>
      </c>
      <c r="J584" s="1" t="s">
        <v>143</v>
      </c>
      <c r="K584" s="1" t="s">
        <v>92</v>
      </c>
    </row>
    <row r="585" spans="1:12" x14ac:dyDescent="0.25">
      <c r="E585" s="1" t="s">
        <v>145</v>
      </c>
      <c r="F585" s="1" t="s">
        <v>21</v>
      </c>
      <c r="G585" s="1" t="s">
        <v>629</v>
      </c>
      <c r="H585" s="11" t="s">
        <v>630</v>
      </c>
    </row>
    <row r="586" spans="1:12" x14ac:dyDescent="0.25">
      <c r="E586" s="1" t="s">
        <v>147</v>
      </c>
      <c r="F586" s="1" t="s">
        <v>631</v>
      </c>
      <c r="G586" s="1" t="s">
        <v>629</v>
      </c>
      <c r="H586" s="11" t="s">
        <v>632</v>
      </c>
      <c r="K586" s="1" t="s">
        <v>125</v>
      </c>
    </row>
    <row r="587" spans="1:12" x14ac:dyDescent="0.25">
      <c r="E587" s="1" t="s">
        <v>149</v>
      </c>
      <c r="F587" s="1" t="s">
        <v>89</v>
      </c>
      <c r="G587" s="1" t="s">
        <v>629</v>
      </c>
      <c r="H587" s="11" t="s">
        <v>633</v>
      </c>
    </row>
    <row r="588" spans="1:12" x14ac:dyDescent="0.25">
      <c r="E588" s="1" t="s">
        <v>634</v>
      </c>
      <c r="F588" s="1" t="s">
        <v>21</v>
      </c>
      <c r="G588" s="1" t="s">
        <v>629</v>
      </c>
      <c r="H588" s="11" t="s">
        <v>633</v>
      </c>
    </row>
    <row r="589" spans="1:12" ht="27" x14ac:dyDescent="0.25">
      <c r="B589" s="5" t="s">
        <v>635</v>
      </c>
      <c r="D589" s="1" t="s">
        <v>29</v>
      </c>
      <c r="E589" s="1" t="s">
        <v>168</v>
      </c>
      <c r="F589" s="1" t="s">
        <v>277</v>
      </c>
      <c r="G589" s="1" t="s">
        <v>39</v>
      </c>
      <c r="H589" s="4" t="s">
        <v>40</v>
      </c>
    </row>
    <row r="590" spans="1:12" x14ac:dyDescent="0.25">
      <c r="E590" s="1" t="s">
        <v>169</v>
      </c>
      <c r="F590" s="1" t="s">
        <v>16</v>
      </c>
      <c r="G590" s="1" t="s">
        <v>17</v>
      </c>
      <c r="H590" s="4" t="s">
        <v>17</v>
      </c>
      <c r="I590" s="6" t="s">
        <v>176</v>
      </c>
      <c r="J590" s="1" t="s">
        <v>177</v>
      </c>
    </row>
    <row r="591" spans="1:12" x14ac:dyDescent="0.25">
      <c r="E591" s="1" t="s">
        <v>43</v>
      </c>
      <c r="F591" s="1" t="s">
        <v>38</v>
      </c>
      <c r="G591" s="1" t="s">
        <v>629</v>
      </c>
      <c r="H591" s="4" t="s">
        <v>627</v>
      </c>
      <c r="I591" s="3" t="str">
        <f>$B$583</f>
        <v>OMOP Comorbidity Condition</v>
      </c>
    </row>
    <row r="592" spans="1:12" x14ac:dyDescent="0.25">
      <c r="E592" s="1" t="s">
        <v>53</v>
      </c>
      <c r="F592" s="1" t="s">
        <v>16</v>
      </c>
      <c r="G592" s="1" t="s">
        <v>17</v>
      </c>
      <c r="H592" s="4" t="s">
        <v>17</v>
      </c>
      <c r="I592" s="3">
        <v>1147127</v>
      </c>
      <c r="J592" s="1" t="s">
        <v>56</v>
      </c>
    </row>
    <row r="593" spans="2:8" x14ac:dyDescent="0.25">
      <c r="E593" s="1" t="s">
        <v>115</v>
      </c>
      <c r="F593" s="1" t="s">
        <v>89</v>
      </c>
      <c r="G593" s="1" t="s">
        <v>629</v>
      </c>
      <c r="H593" s="11" t="s">
        <v>636</v>
      </c>
    </row>
    <row r="594" spans="2:8" x14ac:dyDescent="0.25">
      <c r="E594" s="1" t="s">
        <v>118</v>
      </c>
      <c r="F594" s="1" t="s">
        <v>21</v>
      </c>
      <c r="G594" s="1" t="s">
        <v>629</v>
      </c>
      <c r="H594" s="11" t="s">
        <v>636</v>
      </c>
    </row>
    <row r="595" spans="2:8" ht="27" x14ac:dyDescent="0.25">
      <c r="B595" s="5" t="s">
        <v>637</v>
      </c>
      <c r="C595" s="1" t="s">
        <v>638</v>
      </c>
      <c r="G595" s="22" t="s">
        <v>629</v>
      </c>
      <c r="H595" s="15" t="s">
        <v>639</v>
      </c>
    </row>
    <row r="596" spans="2:8" x14ac:dyDescent="0.25">
      <c r="G596" s="22" t="s">
        <v>629</v>
      </c>
      <c r="H596" s="12" t="s">
        <v>640</v>
      </c>
    </row>
    <row r="597" spans="2:8" x14ac:dyDescent="0.25">
      <c r="H597" s="11"/>
    </row>
    <row r="598" spans="2:8" x14ac:dyDescent="0.25">
      <c r="H598" s="11"/>
    </row>
    <row r="601" spans="2:8" ht="27" x14ac:dyDescent="0.25">
      <c r="B601" s="5" t="s">
        <v>641</v>
      </c>
      <c r="G601" s="22" t="s">
        <v>642</v>
      </c>
      <c r="H601" s="12" t="s">
        <v>46</v>
      </c>
    </row>
    <row r="602" spans="2:8" x14ac:dyDescent="0.25">
      <c r="G602" s="22" t="s">
        <v>642</v>
      </c>
      <c r="H602" s="12" t="s">
        <v>643</v>
      </c>
    </row>
    <row r="603" spans="2:8" x14ac:dyDescent="0.25">
      <c r="G603" s="22" t="s">
        <v>642</v>
      </c>
      <c r="H603" s="12" t="s">
        <v>644</v>
      </c>
    </row>
    <row r="604" spans="2:8" x14ac:dyDescent="0.25">
      <c r="G604" s="22" t="s">
        <v>642</v>
      </c>
      <c r="H604" s="12" t="s">
        <v>645</v>
      </c>
    </row>
    <row r="605" spans="2:8" x14ac:dyDescent="0.25">
      <c r="G605" s="22" t="s">
        <v>642</v>
      </c>
      <c r="H605" s="12" t="s">
        <v>646</v>
      </c>
    </row>
    <row r="606" spans="2:8" x14ac:dyDescent="0.25">
      <c r="G606" s="22" t="s">
        <v>642</v>
      </c>
      <c r="H606" s="12" t="s">
        <v>647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dc:description/>
  <cp:lastModifiedBy>Liu, Justin</cp:lastModifiedBy>
  <cp:revision>19</cp:revision>
  <cp:lastPrinted>2025-11-03T16:33:46Z</cp:lastPrinted>
  <dcterms:created xsi:type="dcterms:W3CDTF">2025-06-02T15:05:46Z</dcterms:created>
  <dcterms:modified xsi:type="dcterms:W3CDTF">2026-02-27T19:39:45Z</dcterms:modified>
  <dc:language>en-CA</dc:language>
</cp:coreProperties>
</file>