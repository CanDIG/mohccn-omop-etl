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nsformation Mode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<sst xmlns="http://schemas.openxmlformats.org/spreadsheetml/2006/main" count="3539" uniqueCount="644">
  <si>
    <t xml:space="preserve">Source JSON Level</t>
  </si>
  <si>
    <t xml:space="preserve">DHDP Data Group</t>
  </si>
  <si>
    <t xml:space="preserve">DHDP Data Catalog Identifier</t>
  </si>
  <si>
    <t xml:space="preserve">OMOP Table</t>
  </si>
  <si>
    <t xml:space="preserve">Target Field</t>
  </si>
  <si>
    <t xml:space="preserve">Instruction</t>
  </si>
  <si>
    <t xml:space="preserve">MOHCCN Source Schema</t>
  </si>
  <si>
    <t xml:space="preserve">Source Field</t>
  </si>
  <si>
    <t xml:space="preserve">Value</t>
  </si>
  <si>
    <t xml:space="preserve">Vocab</t>
  </si>
  <si>
    <t xml:space="preserve">Requirement Rule</t>
  </si>
  <si>
    <t xml:space="preserve">Description</t>
  </si>
  <si>
    <t xml:space="preserve">$</t>
  </si>
  <si>
    <t xml:space="preserve">Default Values</t>
  </si>
  <si>
    <t xml:space="preserve">observation</t>
  </si>
  <si>
    <t xml:space="preserve">observation_type_concept_id</t>
  </si>
  <si>
    <t xml:space="preserve">Fixed Value</t>
  </si>
  <si>
    <t xml:space="preserve">N/A</t>
  </si>
  <si>
    <t xml:space="preserve">Type Concept</t>
  </si>
  <si>
    <t xml:space="preserve">Registry</t>
  </si>
  <si>
    <t xml:space="preserve">observation_date</t>
  </si>
  <si>
    <t xml:space="preserve">Copy Value</t>
  </si>
  <si>
    <t xml:space="preserve">{missing_date_value}</t>
  </si>
  <si>
    <t xml:space="preserve">episode</t>
  </si>
  <si>
    <t xml:space="preserve">episode_type_concept_id</t>
  </si>
  <si>
    <t xml:space="preserve">specimen</t>
  </si>
  <si>
    <t xml:space="preserve">specimen_type_concept_id</t>
  </si>
  <si>
    <t xml:space="preserve">visit_occurrence</t>
  </si>
  <si>
    <t xml:space="preserve">visit_type_concept_id</t>
  </si>
  <si>
    <t xml:space="preserve">measurement</t>
  </si>
  <si>
    <t xml:space="preserve">measurement_type_concept_id</t>
  </si>
  <si>
    <t xml:space="preserve">measurement_date</t>
  </si>
  <si>
    <t xml:space="preserve">procedure_occurrence</t>
  </si>
  <si>
    <t xml:space="preserve">procedure_type_concept_id</t>
  </si>
  <si>
    <t xml:space="preserve">condition_occurrence</t>
  </si>
  <si>
    <t xml:space="preserve">condition_type_concept_id</t>
  </si>
  <si>
    <t xml:space="preserve">death</t>
  </si>
  <si>
    <t xml:space="preserve">person_id</t>
  </si>
  <si>
    <t xml:space="preserve">Get Unique ID</t>
  </si>
  <si>
    <t xml:space="preserve">Donor</t>
  </si>
  <si>
    <t xml:space="preserve">submitter_donor_id</t>
  </si>
  <si>
    <t xml:space="preserve">Skip Record</t>
  </si>
  <si>
    <t xml:space="preserve">drug_exposure</t>
  </si>
  <si>
    <t xml:space="preserve">measurement_event_id</t>
  </si>
  <si>
    <t xml:space="preserve">Get Unique ID (No Global Vars)</t>
  </si>
  <si>
    <t xml:space="preserve">Specimen</t>
  </si>
  <si>
    <t xml:space="preserve">submitter_specimen_id</t>
  </si>
  <si>
    <t xml:space="preserve">Primary Diagnosis</t>
  </si>
  <si>
    <t xml:space="preserve">submitter_primary_diagnosis_id</t>
  </si>
  <si>
    <t xml:space="preserve">Treatment</t>
  </si>
  <si>
    <t xml:space="preserve">submitter_treatment_id</t>
  </si>
  <si>
    <t xml:space="preserve">Follow Up</t>
  </si>
  <si>
    <t xml:space="preserve">submitter_follow_up_id</t>
  </si>
  <si>
    <t xml:space="preserve">meas_event_field_concept_id</t>
  </si>
  <si>
    <t xml:space="preserve">Fixed Value If Not Empty</t>
  </si>
  <si>
    <t xml:space="preserve">1147049</t>
  </si>
  <si>
    <t xml:space="preserve">CDM</t>
  </si>
  <si>
    <t xml:space="preserve">specimen.specimen_id</t>
  </si>
  <si>
    <t xml:space="preserve">798885</t>
  </si>
  <si>
    <t xml:space="preserve">episode.episode_id</t>
  </si>
  <si>
    <t xml:space="preserve">1147070</t>
  </si>
  <si>
    <t xml:space="preserve">visit_occurrence.visit_occurrence_id</t>
  </si>
  <si>
    <t xml:space="preserve">$.donors[]</t>
  </si>
  <si>
    <t xml:space="preserve">Global Variables</t>
  </si>
  <si>
    <t xml:space="preserve">_global_vars</t>
  </si>
  <si>
    <t xml:space="preserve">Reset Global Vars</t>
  </si>
  <si>
    <t xml:space="preserve">{source_id}</t>
  </si>
  <si>
    <t xml:space="preserve">SITE_{siteId}</t>
  </si>
  <si>
    <t xml:space="preserve">{fixed_date}</t>
  </si>
  <si>
    <t xml:space="preserve">2000-01-01</t>
  </si>
  <si>
    <t xml:space="preserve">1800-01-01</t>
  </si>
  <si>
    <t xml:space="preserve">{missing_concept_id_value}</t>
  </si>
  <si>
    <t xml:space="preserve">{missing_string_value}</t>
  </si>
  <si>
    <t xml:space="preserve">(Missing value)</t>
  </si>
  <si>
    <t xml:space="preserve">CanDIG Dataset Definition</t>
  </si>
  <si>
    <t xml:space="preserve">Save To Global Vars</t>
  </si>
  <si>
    <t xml:space="preserve">date_resolution</t>
  </si>
  <si>
    <t xml:space="preserve">program_id</t>
  </si>
  <si>
    <t xml:space="preserve">date_of_birth</t>
  </si>
  <si>
    <t xml:space="preserve">dataset</t>
  </si>
  <si>
    <t xml:space="preserve">id</t>
  </si>
  <si>
    <t xml:space="preserve">{source_id}~{Donor.program_id}</t>
  </si>
  <si>
    <t xml:space="preserve">OMOP Patient Person</t>
  </si>
  <si>
    <t xml:space="preserve">person</t>
  </si>
  <si>
    <t xml:space="preserve">Generate Unique ID</t>
  </si>
  <si>
    <t xml:space="preserve">person_source_value</t>
  </si>
  <si>
    <t xml:space="preserve">{source_id}~{Donor.program_id}~{Donor.submitter_donor_id}</t>
  </si>
  <si>
    <t xml:space="preserve">Patient - Sex At Birth (Code)</t>
  </si>
  <si>
    <t xml:space="preserve">gender_concept_id</t>
  </si>
  <si>
    <t xml:space="preserve">Concept ID By Term</t>
  </si>
  <si>
    <t xml:space="preserve">sex_at_birth</t>
  </si>
  <si>
    <t xml:space="preserve">Gender</t>
  </si>
  <si>
    <t xml:space="preserve">Placeholder:{missing_concept_id_value}</t>
  </si>
  <si>
    <t xml:space="preserve">https://athena.ohdsi.org/search-terms/terms?domain=Gender&amp;standardConcept=Standard&amp;page=1&amp;pageSize=15&amp;query=</t>
  </si>
  <si>
    <t xml:space="preserve">Patient - Sex At Birth (Text From Source)</t>
  </si>
  <si>
    <t xml:space="preserve">gender_source_value</t>
  </si>
  <si>
    <t xml:space="preserve">Patient - Birth Year</t>
  </si>
  <si>
    <t xml:space="preserve">year_of_birth</t>
  </si>
  <si>
    <t xml:space="preserve">Calculate Year From Interval</t>
  </si>
  <si>
    <t xml:space="preserve">Placeholder:1800</t>
  </si>
  <si>
    <t xml:space="preserve">Patient - Birth Month</t>
  </si>
  <si>
    <t xml:space="preserve">month_of_birth</t>
  </si>
  <si>
    <t xml:space="preserve">Calculate Month From Interval</t>
  </si>
  <si>
    <t xml:space="preserve">Placeholder:1</t>
  </si>
  <si>
    <t xml:space="preserve">Patient - Birth Day</t>
  </si>
  <si>
    <t xml:space="preserve">day_of_birth</t>
  </si>
  <si>
    <t xml:space="preserve">Calculate Day From Interval</t>
  </si>
  <si>
    <t xml:space="preserve">race_concept_id</t>
  </si>
  <si>
    <t xml:space="preserve">ethnicity_concept_id</t>
  </si>
  <si>
    <t xml:space="preserve">OMOP Gender Identity Observation</t>
  </si>
  <si>
    <t xml:space="preserve">observation_id</t>
  </si>
  <si>
    <t xml:space="preserve">observation_concept_id</t>
  </si>
  <si>
    <t xml:space="preserve">SNOMED</t>
  </si>
  <si>
    <t xml:space="preserve">Gender identity</t>
  </si>
  <si>
    <t xml:space="preserve">Patient - Gender Identity (Code)</t>
  </si>
  <si>
    <t xml:space="preserve">value_as_concept_id</t>
  </si>
  <si>
    <t xml:space="preserve">gender</t>
  </si>
  <si>
    <t xml:space="preserve">Patient - Gender Identity (Text From Source)</t>
  </si>
  <si>
    <t xml:space="preserve">value_source_value</t>
  </si>
  <si>
    <t xml:space="preserve">OMOP Patient Death</t>
  </si>
  <si>
    <t xml:space="preserve">death_type_concept_id</t>
  </si>
  <si>
    <t xml:space="preserve">Patient Death - Date Of Death</t>
  </si>
  <si>
    <t xml:space="preserve">death_date</t>
  </si>
  <si>
    <t xml:space="preserve">Calculate Date From Interval</t>
  </si>
  <si>
    <t xml:space="preserve">date_of_death</t>
  </si>
  <si>
    <t xml:space="preserve">Placeholder:{missing_date_value}</t>
  </si>
  <si>
    <t xml:space="preserve">Patient Death - Cause Of Death (Code)</t>
  </si>
  <si>
    <t xml:space="preserve">cause_concept_id</t>
  </si>
  <si>
    <t xml:space="preserve">cause_of_death</t>
  </si>
  <si>
    <t xml:space="preserve">Patient Death - Cause Of Death (Text From Source)</t>
  </si>
  <si>
    <t xml:space="preserve">cause_source_value</t>
  </si>
  <si>
    <t xml:space="preserve">MOHCCN Donor Incomplete Modeling</t>
  </si>
  <si>
    <t xml:space="preserve">?</t>
  </si>
  <si>
    <t xml:space="preserve">lost_to_followup_after_clinical_event_identifier</t>
  </si>
  <si>
    <t xml:space="preserve">lost_to_followup_reason</t>
  </si>
  <si>
    <t xml:space="preserve">date_alive_after_lost_to_followup</t>
  </si>
  <si>
    <t xml:space="preserve">$.donors[].primary_diagnoses[]</t>
  </si>
  <si>
    <t xml:space="preserve">OMOP Primary Dx Condition</t>
  </si>
  <si>
    <t xml:space="preserve">condition_occurrence_id</t>
  </si>
  <si>
    <t xml:space="preserve">Primary Diagnosis - Condition (Code)</t>
  </si>
  <si>
    <t xml:space="preserve">condition_concept_id</t>
  </si>
  <si>
    <t xml:space="preserve">Concept ID By Code</t>
  </si>
  <si>
    <t xml:space="preserve">cancer_type_code</t>
  </si>
  <si>
    <t xml:space="preserve">ICD10</t>
  </si>
  <si>
    <t xml:space="preserve">Primary Diagnosis - Condition (Text From Source)</t>
  </si>
  <si>
    <t xml:space="preserve">condition_source_value</t>
  </si>
  <si>
    <t xml:space="preserve">Primary Diagnosis - Diagnosis Date</t>
  </si>
  <si>
    <t xml:space="preserve">condition_start_date</t>
  </si>
  <si>
    <t xml:space="preserve">date_of_diagnosis</t>
  </si>
  <si>
    <t xml:space="preserve">condition_status_concept_id</t>
  </si>
  <si>
    <t xml:space="preserve">Condition Status</t>
  </si>
  <si>
    <t xml:space="preserve">OMOP Primary Dx Episode</t>
  </si>
  <si>
    <t xml:space="preserve">episode_id</t>
  </si>
  <si>
    <t xml:space="preserve">episode_concept_id</t>
  </si>
  <si>
    <t xml:space="preserve">32528</t>
  </si>
  <si>
    <t xml:space="preserve">Episode</t>
  </si>
  <si>
    <t xml:space="preserve">Disease First Occurrence</t>
  </si>
  <si>
    <t xml:space="preserve">episode_source_concept_id</t>
  </si>
  <si>
    <t xml:space="preserve">episode_object_concept_id</t>
  </si>
  <si>
    <t xml:space="preserve">episode_number</t>
  </si>
  <si>
    <t xml:space="preserve">episode_start_date</t>
  </si>
  <si>
    <t xml:space="preserve">episode_end_date</t>
  </si>
  <si>
    <t xml:space="preserve">OMOP Primary Dx Episode / Condition Event</t>
  </si>
  <si>
    <t xml:space="preserve">episode_event</t>
  </si>
  <si>
    <t xml:space="preserve">event_id</t>
  </si>
  <si>
    <t xml:space="preserve">episode_event_field_concept_id</t>
  </si>
  <si>
    <t xml:space="preserve">condition_occurrence.condition_occurrence_id</t>
  </si>
  <si>
    <t xml:space="preserve">OMOP Primary Dx Initial Diagnosis Measurement</t>
  </si>
  <si>
    <t xml:space="preserve">measurement_id</t>
  </si>
  <si>
    <t xml:space="preserve">measurement_concept_id</t>
  </si>
  <si>
    <t xml:space="preserve">Cancer Modifier</t>
  </si>
  <si>
    <t xml:space="preserve">Initial Diagnosis</t>
  </si>
  <si>
    <t xml:space="preserve">Primary Diagnosis - Basis of Diagnosis (Code)</t>
  </si>
  <si>
    <t xml:space="preserve">basis_of_diagnosis</t>
  </si>
  <si>
    <t xml:space="preserve">Primary Diagnosis - Basis of Diagnosis (Text)</t>
  </si>
  <si>
    <t xml:space="preserve">OMOP Primary Dx Laterality Measurement</t>
  </si>
  <si>
    <t xml:space="preserve">35918306</t>
  </si>
  <si>
    <t xml:space="preserve">NAACCR</t>
  </si>
  <si>
    <t xml:space="preserve">Laterality</t>
  </si>
  <si>
    <t xml:space="preserve">Primary Diagnosis - Disease Laterality (Code)</t>
  </si>
  <si>
    <t xml:space="preserve">laterality</t>
  </si>
  <si>
    <t xml:space="preserve">Primary Diagnosis - Disease Laterality (Text From Source)</t>
  </si>
  <si>
    <t xml:space="preserve">OMOP Primary Dx Site Observation</t>
  </si>
  <si>
    <t xml:space="preserve">3011717</t>
  </si>
  <si>
    <t xml:space="preserve">LOINC</t>
  </si>
  <si>
    <t xml:space="preserve">Primary site Cancer</t>
  </si>
  <si>
    <t xml:space="preserve">Primary Diagnosis - Primary Site (Code)</t>
  </si>
  <si>
    <t xml:space="preserve">primary_site</t>
  </si>
  <si>
    <t xml:space="preserve">Primary Diagnosis - Primary Site (Text From Source)</t>
  </si>
  <si>
    <t xml:space="preserve">observation_event_id</t>
  </si>
  <si>
    <t xml:space="preserve">obs_event_field_concept_id</t>
  </si>
  <si>
    <t xml:space="preserve">OMOP TNM Clin T Stage Measurement</t>
  </si>
  <si>
    <t xml:space="preserve">4164336</t>
  </si>
  <si>
    <t xml:space="preserve">Clinical T category</t>
  </si>
  <si>
    <t xml:space="preserve">Primary Diagnosis - Clinical TNM T Stage (Code)</t>
  </si>
  <si>
    <t xml:space="preserve">clinical_t_category</t>
  </si>
  <si>
    <t xml:space="preserve">Primary Diagnosis - Clinical TNM T Stage (Text From Source)</t>
  </si>
  <si>
    <t xml:space="preserve">OMOP TNM Clin N Stage Measurement</t>
  </si>
  <si>
    <t xml:space="preserve">4164466</t>
  </si>
  <si>
    <t xml:space="preserve">Clinical N category</t>
  </si>
  <si>
    <t xml:space="preserve">Primary Diagnosis - Clinical TNM N Stage (Code)</t>
  </si>
  <si>
    <t xml:space="preserve">clinical_n_category</t>
  </si>
  <si>
    <t xml:space="preserve">Primary Diagnosis - Clinical TNM N Stage (Text From Source)</t>
  </si>
  <si>
    <t xml:space="preserve">OMOP TNM Clin M Stage Measurement</t>
  </si>
  <si>
    <t xml:space="preserve">4164182</t>
  </si>
  <si>
    <t xml:space="preserve">Clinical M category</t>
  </si>
  <si>
    <t xml:space="preserve">Primary Diagnosis - Clinical TNM M Stage (Code)</t>
  </si>
  <si>
    <t xml:space="preserve">clinical_m_category</t>
  </si>
  <si>
    <t xml:space="preserve">Primary Diagnosis - Clinical TNM M Stage (Text From Source)</t>
  </si>
  <si>
    <t xml:space="preserve">OMOP Clinical Stage Observation</t>
  </si>
  <si>
    <t xml:space="preserve">Primary Diagnosis - Clinical Staging System (Code)</t>
  </si>
  <si>
    <t xml:space="preserve">4295636</t>
  </si>
  <si>
    <t xml:space="preserve">Clinical stage</t>
  </si>
  <si>
    <t xml:space="preserve">Primary Diagnosis - Clinical Stage Group (Code)</t>
  </si>
  <si>
    <t xml:space="preserve">clinical_stage_group</t>
  </si>
  <si>
    <t xml:space="preserve">Primary Diagnosis - Clinical Stage Group (Text From Source)</t>
  </si>
  <si>
    <t xml:space="preserve">qualifier_concept_id</t>
  </si>
  <si>
    <t xml:space="preserve">clinical_tumour_staging_system</t>
  </si>
  <si>
    <t xml:space="preserve">Primary Diagnosis - Clinical Staging System (Text From Source)</t>
  </si>
  <si>
    <t xml:space="preserve">qualifier_source_value</t>
  </si>
  <si>
    <t xml:space="preserve">OMOP TNM Path T Stage Measurement</t>
  </si>
  <si>
    <t xml:space="preserve">4293617</t>
  </si>
  <si>
    <t xml:space="preserve">Pathologic T category</t>
  </si>
  <si>
    <t xml:space="preserve">Primary Diagnosis - Pathological TNM T Stage (Code)</t>
  </si>
  <si>
    <t xml:space="preserve">pathological_t_category</t>
  </si>
  <si>
    <t xml:space="preserve">Primary Diagnosis - Pathological TNM T Stage (Text From Source)</t>
  </si>
  <si>
    <t xml:space="preserve">OMOP TNM Path N Stage Measurement</t>
  </si>
  <si>
    <t xml:space="preserve">4161174</t>
  </si>
  <si>
    <t xml:space="preserve">Pathologic N category</t>
  </si>
  <si>
    <t xml:space="preserve">Primary Diagnosis - Pathological TNM N Stage (Code)</t>
  </si>
  <si>
    <t xml:space="preserve">pathological_n_category</t>
  </si>
  <si>
    <t xml:space="preserve">Primary Diagnosis - Pathological TNM N Stage (Text From Source)</t>
  </si>
  <si>
    <t xml:space="preserve">OMOP TNM Path M Stage Measurement</t>
  </si>
  <si>
    <t xml:space="preserve">4154262</t>
  </si>
  <si>
    <t xml:space="preserve">Pathologic M category</t>
  </si>
  <si>
    <t xml:space="preserve">Primary Diagnosis - Pathological TNM M Stage (Code)</t>
  </si>
  <si>
    <t xml:space="preserve">pathological_m_category</t>
  </si>
  <si>
    <t xml:space="preserve">Primary Diagnosis - Pathological TNM M Stage (Text From Source)</t>
  </si>
  <si>
    <t xml:space="preserve">OMOP Pathological Stage Observation</t>
  </si>
  <si>
    <t xml:space="preserve">4226407</t>
  </si>
  <si>
    <t xml:space="preserve">Pathologic stage</t>
  </si>
  <si>
    <t xml:space="preserve">Primary Diagnosis - Pathological Staging Group (Code)</t>
  </si>
  <si>
    <t xml:space="preserve">pathological_stage_group</t>
  </si>
  <si>
    <t xml:space="preserve">Primary Diagnosis - Pathological Staging Group (Text From Source)</t>
  </si>
  <si>
    <t xml:space="preserve">Primary Diagnosis - Pathological Staging System (Code)</t>
  </si>
  <si>
    <t xml:space="preserve">pathological_tumour_staging_system</t>
  </si>
  <si>
    <t xml:space="preserve">Primary Diagnosis - Pathological Staging System (Text From Source)</t>
  </si>
  <si>
    <t xml:space="preserve">$.donors[].primary_diagnoses[].treatments[]</t>
  </si>
  <si>
    <t xml:space="preserve">OMOP Treatment Episode</t>
  </si>
  <si>
    <t xml:space="preserve">treatment_start_date</t>
  </si>
  <si>
    <t xml:space="preserve">status_of_treatment</t>
  </si>
  <si>
    <t xml:space="preserve">32531</t>
  </si>
  <si>
    <t xml:space="preserve">Treatment Regimen</t>
  </si>
  <si>
    <t xml:space="preserve">Cancer Treatment - Treatment Start Date</t>
  </si>
  <si>
    <t xml:space="preserve">Cancer Treatment - Treatment End Date</t>
  </si>
  <si>
    <t xml:space="preserve">treatment_end_date</t>
  </si>
  <si>
    <t xml:space="preserve">Cancer Treatment - Is Primary Treatment</t>
  </si>
  <si>
    <t xml:space="preserve">is_primary_treatment</t>
  </si>
  <si>
    <t xml:space="preserve">OMOP Treatment Episode / Primary Condition Event</t>
  </si>
  <si>
    <t xml:space="preserve">OMOP Treatment Episode Intent Observation</t>
  </si>
  <si>
    <t xml:space="preserve">4133895</t>
  </si>
  <si>
    <t xml:space="preserve">Therapeutic intent</t>
  </si>
  <si>
    <t xml:space="preserve">Cancer Treatment - Treatment Intent (Code)</t>
  </si>
  <si>
    <t xml:space="preserve">treatment_intent</t>
  </si>
  <si>
    <t xml:space="preserve">Cancer Treatment - Treatment Intent (Text From Source)</t>
  </si>
  <si>
    <t xml:space="preserve">OMOP Treatment Episode Response Observation</t>
  </si>
  <si>
    <t xml:space="preserve">4082405</t>
  </si>
  <si>
    <t xml:space="preserve">Response to treatment</t>
  </si>
  <si>
    <t xml:space="preserve">Cancer Treatment - Response To Treatment (Code)</t>
  </si>
  <si>
    <t xml:space="preserve">response_to_treatment</t>
  </si>
  <si>
    <t xml:space="preserve">Cancer Treatment - Response To Treatment (Text From Source)</t>
  </si>
  <si>
    <t xml:space="preserve">Cancer Treatment - Response To Treatment Criteria Method (Code)</t>
  </si>
  <si>
    <t xml:space="preserve">response_to_treatment_criteria_method</t>
  </si>
  <si>
    <t xml:space="preserve">Cancer Treatment - Response To Treatment Criteria Method (Text From Source)</t>
  </si>
  <si>
    <t xml:space="preserve">$.donors[].primary_diagnoses[].treatments[].treatment_type[]</t>
  </si>
  <si>
    <t xml:space="preserve">OMOP Treatment Episode Procedure Occurrence</t>
  </si>
  <si>
    <t xml:space="preserve">procedure_occurrence_id</t>
  </si>
  <si>
    <t xml:space="preserve">Generate Unique ID From Path</t>
  </si>
  <si>
    <t xml:space="preserve">procedure_concept_id</t>
  </si>
  <si>
    <t xml:space="preserve">Concept ID By Node</t>
  </si>
  <si>
    <t xml:space="preserve">treatment_type</t>
  </si>
  <si>
    <t xml:space="preserve">Cancer Treatment - Treatment Type (Text From Source)</t>
  </si>
  <si>
    <t xml:space="preserve">procedure_source_value</t>
  </si>
  <si>
    <t xml:space="preserve">Copy Node</t>
  </si>
  <si>
    <t xml:space="preserve">procedure_date</t>
  </si>
  <si>
    <t xml:space="preserve">{Treatment.treatment_start_date}</t>
  </si>
  <si>
    <t xml:space="preserve">Cancer Treatment - Treatment Status (Code)</t>
  </si>
  <si>
    <t xml:space="preserve">modifier_concept_id</t>
  </si>
  <si>
    <t xml:space="preserve">{Treatment.status_of_treatment}</t>
  </si>
  <si>
    <t xml:space="preserve">Cancer Treatment - Treatment Status (Text From Source)</t>
  </si>
  <si>
    <t xml:space="preserve">modifier_source_value</t>
  </si>
  <si>
    <t xml:space="preserve">OMOP Treatment Episode / Procedure Occurrence Event</t>
  </si>
  <si>
    <t xml:space="preserve">Get Unique ID From Path</t>
  </si>
  <si>
    <t xml:space="preserve">1147082</t>
  </si>
  <si>
    <t xml:space="preserve">procedure_occurrence.procedure_occurrence_id</t>
  </si>
  <si>
    <t xml:space="preserve">$.donors[].primary_diagnoses[].treatments[].systemic_therapies[]</t>
  </si>
  <si>
    <t xml:space="preserve">OMOP Systemic Therapy Episode</t>
  </si>
  <si>
    <t xml:space="preserve">32941</t>
  </si>
  <si>
    <t xml:space="preserve">Cancer Drug Treatment</t>
  </si>
  <si>
    <t xml:space="preserve">Systemic Therapy</t>
  </si>
  <si>
    <t xml:space="preserve">systemic_therapy_type</t>
  </si>
  <si>
    <t xml:space="preserve">start_date</t>
  </si>
  <si>
    <t xml:space="preserve">end_date</t>
  </si>
  <si>
    <t xml:space="preserve">OMOP Treatment Episode / Systemic Therapy Episode Event</t>
  </si>
  <si>
    <t xml:space="preserve">OMOP Systemic Therapy Procedure</t>
  </si>
  <si>
    <t xml:space="preserve">Systemic Therapy - Treatment Type (Code)</t>
  </si>
  <si>
    <t xml:space="preserve">Systemic Therapy - Treatment Type (Text From Source)</t>
  </si>
  <si>
    <t xml:space="preserve">Systemic Therapy - Number Of Cycles</t>
  </si>
  <si>
    <t xml:space="preserve">quantity</t>
  </si>
  <si>
    <t xml:space="preserve">number_of_cycles</t>
  </si>
  <si>
    <t xml:space="preserve">OMOP Systemic Therapy Episode / Procedure Event</t>
  </si>
  <si>
    <t xml:space="preserve">OMOP Systemic Therapy Dose Given Drug Exposure</t>
  </si>
  <si>
    <t xml:space="preserve">{Systemic Therapy.drug_reference_database}</t>
  </si>
  <si>
    <t xml:space="preserve">drug_reference_database</t>
  </si>
  <si>
    <t xml:space="preserve">Placeholder String</t>
  </si>
  <si>
    <t xml:space="preserve">drug_exposure_id</t>
  </si>
  <si>
    <t xml:space="preserve">drug_type_concept_id</t>
  </si>
  <si>
    <t xml:space="preserve">32833</t>
  </si>
  <si>
    <t xml:space="preserve">EHR order</t>
  </si>
  <si>
    <t xml:space="preserve">drug_concept_id</t>
  </si>
  <si>
    <t xml:space="preserve">drug_reference_identifier</t>
  </si>
  <si>
    <t xml:space="preserve">Systemic Therapy - Drug Reference Database / 
Systemic Therapy - Drug Reference Identifier /
Systemic Therapy - Drug Name</t>
  </si>
  <si>
    <t xml:space="preserve">drug_source_value</t>
  </si>
  <si>
    <t xml:space="preserve">Concatenate Values</t>
  </si>
  <si>
    <t xml:space="preserve">drug_reference_database, drug_reference_identifier, drug_name</t>
  </si>
  <si>
    <t xml:space="preserve">Systemic Therapy - Start Date</t>
  </si>
  <si>
    <t xml:space="preserve">drug_exposure_start_date</t>
  </si>
  <si>
    <t xml:space="preserve">Systemic Therapy - End Date</t>
  </si>
  <si>
    <t xml:space="preserve">drug_exposure_end_date</t>
  </si>
  <si>
    <t xml:space="preserve">Systemic Therapy - Dose Units</t>
  </si>
  <si>
    <t xml:space="preserve">dose_unit_source_value</t>
  </si>
  <si>
    <t xml:space="preserve">drug_dose_units</t>
  </si>
  <si>
    <t xml:space="preserve">Systemic Therapy - Actual Cumulative Dose</t>
  </si>
  <si>
    <t xml:space="preserve">actual_cumulative_drug_dose</t>
  </si>
  <si>
    <t xml:space="preserve">OMOP Systemic Therapy Episode / Dose Given Drug Exposure Event</t>
  </si>
  <si>
    <t xml:space="preserve">1147094</t>
  </si>
  <si>
    <t xml:space="preserve">drug_exposure.drug_exposure_id</t>
  </si>
  <si>
    <t xml:space="preserve">OMOP Systemic Therapy Dose Prescribed Drug Exposure</t>
  </si>
  <si>
    <t xml:space="preserve">32838</t>
  </si>
  <si>
    <t xml:space="preserve">EHR prescription</t>
  </si>
  <si>
    <t xml:space="preserve">Systemic Therapy - Prescribed Cumulative Dose</t>
  </si>
  <si>
    <t xml:space="preserve">prescribed_cumulative_drug_dose</t>
  </si>
  <si>
    <t xml:space="preserve">OMOP Systemic Therapy Episode / Dose Prescribed Drug Exposure Event</t>
  </si>
  <si>
    <t xml:space="preserve">MOHCCN Systemic Therapy Incomplete Modeling</t>
  </si>
  <si>
    <t xml:space="preserve">days_per_cycle</t>
  </si>
  <si>
    <t xml:space="preserve">$.donors[].primary_diagnoses[].treatments[].radiations[]</t>
  </si>
  <si>
    <t xml:space="preserve">OMOP Radiation Episode</t>
  </si>
  <si>
    <t xml:space="preserve">32940</t>
  </si>
  <si>
    <t xml:space="preserve">Cancer Radiotherapy</t>
  </si>
  <si>
    <t xml:space="preserve">Radiation</t>
  </si>
  <si>
    <t xml:space="preserve">radiation_therapy_modality</t>
  </si>
  <si>
    <t xml:space="preserve">OMOP Treatment Episode / Radiation Episode Event</t>
  </si>
  <si>
    <t xml:space="preserve">OMOP Radiation Procedure</t>
  </si>
  <si>
    <t xml:space="preserve">Radiation Therapy - Modality (Code)</t>
  </si>
  <si>
    <t xml:space="preserve">Radiation Therapy - Modality (Text From Source)</t>
  </si>
  <si>
    <t xml:space="preserve">Radiation Therapy - External or Internal (Code)</t>
  </si>
  <si>
    <t xml:space="preserve">radiation_therapy_type</t>
  </si>
  <si>
    <t xml:space="preserve">Radiation Therapy - External or Internal (Text From Source)</t>
  </si>
  <si>
    <t xml:space="preserve">OMOP Radiation Episode / Procedure Event</t>
  </si>
  <si>
    <t xml:space="preserve">OMOP Radiation Episode Total Dose Given Measurement</t>
  </si>
  <si>
    <t xml:space="preserve">40483776</t>
  </si>
  <si>
    <t xml:space="preserve">Total radiation dose delivered</t>
  </si>
  <si>
    <t xml:space="preserve">Radiation Therapy - Total Dose Given</t>
  </si>
  <si>
    <t xml:space="preserve">value_as_number</t>
  </si>
  <si>
    <t xml:space="preserve">radiation_therapy_dosage</t>
  </si>
  <si>
    <t xml:space="preserve">Radiation Therapy - Total Dose Given Units</t>
  </si>
  <si>
    <t xml:space="preserve">unit_concept_id</t>
  </si>
  <si>
    <t xml:space="preserve">4037797</t>
  </si>
  <si>
    <t xml:space="preserve">Gy</t>
  </si>
  <si>
    <t xml:space="preserve">OMOP Radiation Episode Total Fractions Given Measurement</t>
  </si>
  <si>
    <t xml:space="preserve">4037631</t>
  </si>
  <si>
    <t xml:space="preserve">Number of fractions</t>
  </si>
  <si>
    <t xml:space="preserve">radiation_therapy_fractions</t>
  </si>
  <si>
    <t xml:space="preserve">OMOP Radiation Episode Radiated Site Observation</t>
  </si>
  <si>
    <t xml:space="preserve">4181646</t>
  </si>
  <si>
    <t xml:space="preserve">Procedure site</t>
  </si>
  <si>
    <t xml:space="preserve">Radiation Therapy - Irradiated Site (Code)</t>
  </si>
  <si>
    <t xml:space="preserve">anatomical_site_irradiated </t>
  </si>
  <si>
    <t xml:space="preserve">Radiation Therapy - Irradiated Site (Text From Source)</t>
  </si>
  <si>
    <t xml:space="preserve">OMOP Radiation Boost Procedure</t>
  </si>
  <si>
    <t xml:space="preserve">40482853</t>
  </si>
  <si>
    <t xml:space="preserve">Radiation boost therapy</t>
  </si>
  <si>
    <t xml:space="preserve">radiation_boost</t>
  </si>
  <si>
    <t xml:space="preserve">OMOP Radiation Episode / Radiation Boost Procedure Event</t>
  </si>
  <si>
    <t xml:space="preserve">$.donors[].primary_diagnoses[].treatments[].surgeries[]</t>
  </si>
  <si>
    <t xml:space="preserve">OMOP Surgery Episode</t>
  </si>
  <si>
    <t xml:space="preserve">Surgery</t>
  </si>
  <si>
    <t xml:space="preserve">surgery_reference_database</t>
  </si>
  <si>
    <t xml:space="preserve">32939</t>
  </si>
  <si>
    <t xml:space="preserve">Cancer Surgery</t>
  </si>
  <si>
    <t xml:space="preserve">surgery_reference_identifier</t>
  </si>
  <si>
    <t xml:space="preserve">{Surgery.surgery_reference_database}</t>
  </si>
  <si>
    <t xml:space="preserve">{current_surgery_episode_id}</t>
  </si>
  <si>
    <t xml:space="preserve">OMOP Treatment Episode / Surgery Episode Event</t>
  </si>
  <si>
    <t xml:space="preserve">OMOP Surgery Procedure</t>
  </si>
  <si>
    <t xml:space="preserve">Surgery - Surgery Type (Code)</t>
  </si>
  <si>
    <t xml:space="preserve">Surgery - Surgery Reference Database (Text From Source),
Surgery - Surgery Reference Identifier (Text From Source),
Surgery - Surgery Name (Text From Source)</t>
  </si>
  <si>
    <t xml:space="preserve">surgery_reference_database, surgery_reference_identifier,
surgery_type</t>
  </si>
  <si>
    <t xml:space="preserve">OMOP Surgery Episode / Procedure Event</t>
  </si>
  <si>
    <t xml:space="preserve">OMOP Surgery Episode Tumour Length Measurement</t>
  </si>
  <si>
    <t xml:space="preserve">4156562</t>
  </si>
  <si>
    <t xml:space="preserve">Tumor size, dimension 1</t>
  </si>
  <si>
    <t xml:space="preserve">Surgery - Tumour Length</t>
  </si>
  <si>
    <t xml:space="preserve">tumour_length</t>
  </si>
  <si>
    <t xml:space="preserve">4122379</t>
  </si>
  <si>
    <t xml:space="preserve">mm</t>
  </si>
  <si>
    <t xml:space="preserve">OMOP Surgery Episode Tumour Width Measurement</t>
  </si>
  <si>
    <t xml:space="preserve">4156563</t>
  </si>
  <si>
    <t xml:space="preserve">Tumor size, dimension 2</t>
  </si>
  <si>
    <t xml:space="preserve">Surgery - Tumour Width</t>
  </si>
  <si>
    <t xml:space="preserve">tumour_width</t>
  </si>
  <si>
    <t xml:space="preserve">OMOP Surgery Episode Greatest Tumour Dimension Measurement</t>
  </si>
  <si>
    <t xml:space="preserve">4154259</t>
  </si>
  <si>
    <t xml:space="preserve">Tumor size, largest dimension</t>
  </si>
  <si>
    <t xml:space="preserve">greatest_dimension_tumour</t>
  </si>
  <si>
    <t xml:space="preserve">OMOP Surgery Episode Surgery Site Observation</t>
  </si>
  <si>
    <t xml:space="preserve">Surgery - Body Site (Code)</t>
  </si>
  <si>
    <t xml:space="preserve">surgery_site</t>
  </si>
  <si>
    <t xml:space="preserve">ICDO3</t>
  </si>
  <si>
    <t xml:space="preserve">Surgery - Body Site (Text From Source)</t>
  </si>
  <si>
    <t xml:space="preserve">OMOP Surgery Episode Surgery Tumour Focality Observation</t>
  </si>
  <si>
    <t xml:space="preserve">4244984</t>
  </si>
  <si>
    <t xml:space="preserve">Tumor focality</t>
  </si>
  <si>
    <t xml:space="preserve">Surgery - Tumour Focality (Code)</t>
  </si>
  <si>
    <t xml:space="preserve">tumour_focality</t>
  </si>
  <si>
    <t xml:space="preserve">Surgery - Tumour Focality (Text From Source)</t>
  </si>
  <si>
    <t xml:space="preserve">OMOP Surgery Episode Surgery Specimen Source Observation</t>
  </si>
  <si>
    <t xml:space="preserve">45773156</t>
  </si>
  <si>
    <t xml:space="preserve">Specimen source</t>
  </si>
  <si>
    <t xml:space="preserve">Surgery - Specimen Source (Code)</t>
  </si>
  <si>
    <t xml:space="preserve">surgery_location</t>
  </si>
  <si>
    <t xml:space="preserve">Surgery - Specimen Source (Text From Source)</t>
  </si>
  <si>
    <t xml:space="preserve">OMOP Surgery Episode Residual Tumour Classification Observation</t>
  </si>
  <si>
    <t xml:space="preserve">4077124</t>
  </si>
  <si>
    <t xml:space="preserve">Residual tumor stage</t>
  </si>
  <si>
    <t xml:space="preserve">Surgery - Residual Tumour Classification (Code)</t>
  </si>
  <si>
    <t xml:space="preserve">residual_tumour_classification</t>
  </si>
  <si>
    <t xml:space="preserve">Surgery - Residual Tumour Classification (Text From Source)</t>
  </si>
  <si>
    <t xml:space="preserve">OMOP Surgery Episode Lymphovascular Invasion Observation</t>
  </si>
  <si>
    <t xml:space="preserve">1074673</t>
  </si>
  <si>
    <t xml:space="preserve">Status of lymphovascular invasion by tumour</t>
  </si>
  <si>
    <t xml:space="preserve">Surgery - Lymphovascular Invasion (Code)</t>
  </si>
  <si>
    <t xml:space="preserve">lymphovascular_invasion</t>
  </si>
  <si>
    <t xml:space="preserve">Surgery - Lymphovascular Invasion (Text From Source)</t>
  </si>
  <si>
    <t xml:space="preserve">OMOP Surgery Episode Perineural Invasion Observation</t>
  </si>
  <si>
    <t xml:space="preserve">4161179</t>
  </si>
  <si>
    <t xml:space="preserve">Status of perineural invasion by tumour</t>
  </si>
  <si>
    <t xml:space="preserve">Surgery - Perineural Invasion (Code)</t>
  </si>
  <si>
    <t xml:space="preserve">perineural_invasion</t>
  </si>
  <si>
    <t xml:space="preserve">Surgery - Perineural Invasion (Text From Source)</t>
  </si>
  <si>
    <t xml:space="preserve">$.donors[].primary_diagnoses[].treatments[].surgeries[].margin_types_involved[]</t>
  </si>
  <si>
    <t xml:space="preserve">OMOP Surgery Episode Margin Positive Involvement Observation</t>
  </si>
  <si>
    <t xml:space="preserve">4184217</t>
  </si>
  <si>
    <t xml:space="preserve">Surgical margin involved by tumor</t>
  </si>
  <si>
    <t xml:space="preserve">Surgery - Margin Types Involved (Code)</t>
  </si>
  <si>
    <t xml:space="preserve">margin_types_involved</t>
  </si>
  <si>
    <t xml:space="preserve">Surgery - Margin Types Involved (Text From Source)</t>
  </si>
  <si>
    <t xml:space="preserve">9191</t>
  </si>
  <si>
    <t xml:space="preserve">Positive</t>
  </si>
  <si>
    <t xml:space="preserve">$.donors[].primary_diagnoses[].treatments[].surgeries[].margin_types_not_involved[]</t>
  </si>
  <si>
    <t xml:space="preserve">OMOP Surgery Episode Margin Negative Involvement Observation</t>
  </si>
  <si>
    <t xml:space="preserve">Surgery - Margin Types Not Involved (Code)</t>
  </si>
  <si>
    <t xml:space="preserve">margin_types_not_involved</t>
  </si>
  <si>
    <t xml:space="preserve">Surgery - Margin Types Not Involved (Text From Source)</t>
  </si>
  <si>
    <t xml:space="preserve">9189</t>
  </si>
  <si>
    <t xml:space="preserve">Negative</t>
  </si>
  <si>
    <t xml:space="preserve">$.donors[].primary_diagnoses[].treatments[].surgeries[].margin_types_not_assessed[]</t>
  </si>
  <si>
    <t xml:space="preserve">OMOP Surgery Episode Margin Unassessible Involvement Observation</t>
  </si>
  <si>
    <t xml:space="preserve">Surgery - Margin Types Not Assessable (Code)</t>
  </si>
  <si>
    <t xml:space="preserve">margin_types_not_assessed</t>
  </si>
  <si>
    <t xml:space="preserve">Surgery - Margin Types Not Assessable (Text From Source)</t>
  </si>
  <si>
    <t xml:space="preserve">4183475</t>
  </si>
  <si>
    <t xml:space="preserve">Margins cannot be assessed</t>
  </si>
  <si>
    <t xml:space="preserve">$.donors[].primary_diagnoses[].specimens[]</t>
  </si>
  <si>
    <t xml:space="preserve">OMOP Specimen</t>
  </si>
  <si>
    <t xml:space="preserve">{Specimen.submitter_specimen_id}</t>
  </si>
  <si>
    <t xml:space="preserve">specimen_id</t>
  </si>
  <si>
    <t xml:space="preserve">specimen_concept_id</t>
  </si>
  <si>
    <t xml:space="preserve">4002890</t>
  </si>
  <si>
    <t xml:space="preserve">Tissue specimen</t>
  </si>
  <si>
    <t xml:space="preserve">Specimen - Specimen Collection Date</t>
  </si>
  <si>
    <t xml:space="preserve">specimen_date</t>
  </si>
  <si>
    <t xml:space="preserve">specimen_collection_date</t>
  </si>
  <si>
    <t xml:space="preserve">Specimen - Specimen Body Site (Code)</t>
  </si>
  <si>
    <t xml:space="preserve">anatomic_site_concept_id</t>
  </si>
  <si>
    <t xml:space="preserve">specimen_anatomic_location</t>
  </si>
  <si>
    <t xml:space="preserve">Specimen - Specimen Body Site (Text From Source)</t>
  </si>
  <si>
    <t xml:space="preserve">anatomic_site_source_value</t>
  </si>
  <si>
    <t xml:space="preserve">specimen_source_id</t>
  </si>
  <si>
    <t xml:space="preserve">OMOP Specimen Tumour Morphology Observation</t>
  </si>
  <si>
    <t xml:space="preserve">36716952</t>
  </si>
  <si>
    <t xml:space="preserve">Morphology</t>
  </si>
  <si>
    <t xml:space="preserve">Specimen - Tumour Histological Type (Code)</t>
  </si>
  <si>
    <t xml:space="preserve">tumour_histological_type</t>
  </si>
  <si>
    <t xml:space="preserve">Specimen - Tumour Histological Type (Text From Source)</t>
  </si>
  <si>
    <t xml:space="preserve">OMOP Specimen Tumour Grade Observation</t>
  </si>
  <si>
    <t xml:space="preserve">4160340</t>
  </si>
  <si>
    <t xml:space="preserve">Histologic grade</t>
  </si>
  <si>
    <t xml:space="preserve">Specimen - Tumour Grade (Code)</t>
  </si>
  <si>
    <t xml:space="preserve">tumour_grade</t>
  </si>
  <si>
    <t xml:space="preserve">Specimen - Tumour Grading System (Code)</t>
  </si>
  <si>
    <t xml:space="preserve">tumour_grading_system</t>
  </si>
  <si>
    <t xml:space="preserve">OMOP Specimen Laterality Observation</t>
  </si>
  <si>
    <t xml:space="preserve">4298494</t>
  </si>
  <si>
    <t xml:space="preserve">Specimen laterality</t>
  </si>
  <si>
    <t xml:space="preserve">Specimen - Specimen Laterality  (Code)</t>
  </si>
  <si>
    <t xml:space="preserve">specimen_laterality</t>
  </si>
  <si>
    <t xml:space="preserve">Specimen - Specimen Laterality (Code)</t>
  </si>
  <si>
    <t xml:space="preserve">OMOP Specimen Processing Technique Observation</t>
  </si>
  <si>
    <t xml:space="preserve">4154128</t>
  </si>
  <si>
    <t xml:space="preserve">Specimen type</t>
  </si>
  <si>
    <t xml:space="preserve">Specimen - Specimen Processing Technique (Code)</t>
  </si>
  <si>
    <t xml:space="preserve">specimen_processing</t>
  </si>
  <si>
    <t xml:space="preserve">OMOP Specimen Storage Method Observation</t>
  </si>
  <si>
    <t xml:space="preserve">37169821</t>
  </si>
  <si>
    <t xml:space="preserve">Specimen storage</t>
  </si>
  <si>
    <t xml:space="preserve">Specimen - Specimen Storage Method (Code)</t>
  </si>
  <si>
    <t xml:space="preserve">specimen_storage</t>
  </si>
  <si>
    <t xml:space="preserve">OMOP Primary Dx Episode / Specimen Event</t>
  </si>
  <si>
    <t xml:space="preserve">OMOP Treatment Episode / Specimen Event</t>
  </si>
  <si>
    <t xml:space="preserve">MOHCCN Specimen Incomplete Modeling</t>
  </si>
  <si>
    <t xml:space="preserve">reference_pathology_confirmed_diagnosis</t>
  </si>
  <si>
    <t xml:space="preserve">reference_pathology_confirmed_tumour_presence</t>
  </si>
  <si>
    <t xml:space="preserve">percent_tumour_cells_range</t>
  </si>
  <si>
    <t xml:space="preserve">percent_tumour_cells_measurement_method</t>
  </si>
  <si>
    <t xml:space="preserve">$.donors[].followups[]</t>
  </si>
  <si>
    <t xml:space="preserve">OMOP Follow Up Visit Occurrence</t>
  </si>
  <si>
    <t xml:space="preserve">visit_occurrence_id</t>
  </si>
  <si>
    <t xml:space="preserve">visit_concept_id</t>
  </si>
  <si>
    <t xml:space="preserve">9202</t>
  </si>
  <si>
    <t xml:space="preserve">Visit</t>
  </si>
  <si>
    <t xml:space="preserve">Outpatient Visit</t>
  </si>
  <si>
    <t xml:space="preserve">visit_start_date</t>
  </si>
  <si>
    <t xml:space="preserve">date_of_followup</t>
  </si>
  <si>
    <t xml:space="preserve">visit_end_date</t>
  </si>
  <si>
    <t xml:space="preserve">OMOP Follow Up Disease Status Observation</t>
  </si>
  <si>
    <t xml:space="preserve">4203711</t>
  </si>
  <si>
    <t xml:space="preserve">Follow-up status</t>
  </si>
  <si>
    <t xml:space="preserve">date_of_relapse</t>
  </si>
  <si>
    <t xml:space="preserve">disease_status_at_followup</t>
  </si>
  <si>
    <t xml:space="preserve">OMOP Follow Up Relapse Type Observation</t>
  </si>
  <si>
    <t xml:space="preserve">4117444</t>
  </si>
  <si>
    <t xml:space="preserve">Relapse episode</t>
  </si>
  <si>
    <t xml:space="preserve">relapse_type</t>
  </si>
  <si>
    <t xml:space="preserve">OMOP Follow Up Relapse Site Observation</t>
  </si>
  <si>
    <t xml:space="preserve">3375793</t>
  </si>
  <si>
    <t xml:space="preserve">Tumour site</t>
  </si>
  <si>
    <t xml:space="preserve">anatomic_site_progression_or_recurrence</t>
  </si>
  <si>
    <t xml:space="preserve">MOHCCN Follow Up Incomplete Modeling</t>
  </si>
  <si>
    <t xml:space="preserve">method_of_progression_status</t>
  </si>
  <si>
    <t xml:space="preserve">$.donors[].primary_diagnoses[].followups[]</t>
  </si>
  <si>
    <t xml:space="preserve">OMOP Primary Dx Episode / Visit Occurrence Event</t>
  </si>
  <si>
    <t xml:space="preserve">$.donors[].primary_diagnoses[].treatments[].followups[]</t>
  </si>
  <si>
    <t xml:space="preserve">OMOP Treatment Episode / Visit Occurrence Event</t>
  </si>
  <si>
    <t xml:space="preserve">$.donors[].biomarkers[]</t>
  </si>
  <si>
    <t xml:space="preserve">OMOP PSA Biomarker Measurement</t>
  </si>
  <si>
    <t xml:space="preserve">4272032</t>
  </si>
  <si>
    <t xml:space="preserve">Prostate specific antigen measurement</t>
  </si>
  <si>
    <t xml:space="preserve">Biomarker</t>
  </si>
  <si>
    <t xml:space="preserve">test_date</t>
  </si>
  <si>
    <t xml:space="preserve">psa_level</t>
  </si>
  <si>
    <t xml:space="preserve">4120724</t>
  </si>
  <si>
    <t xml:space="preserve">ng/mL</t>
  </si>
  <si>
    <t xml:space="preserve">OMOP CA125 Biomarker Measurement</t>
  </si>
  <si>
    <t xml:space="preserve">4197913</t>
  </si>
  <si>
    <t xml:space="preserve">CA 125 measurement</t>
  </si>
  <si>
    <t xml:space="preserve">ca125</t>
  </si>
  <si>
    <t xml:space="preserve">4118305</t>
  </si>
  <si>
    <t xml:space="preserve">U/mL</t>
  </si>
  <si>
    <t xml:space="preserve">OMOP CEA Biomarker Measurement</t>
  </si>
  <si>
    <t xml:space="preserve">4244721</t>
  </si>
  <si>
    <t xml:space="preserve">Carcinoembryonic antigen measurement</t>
  </si>
  <si>
    <t xml:space="preserve">cea</t>
  </si>
  <si>
    <t xml:space="preserve">OMOP Estrogen Receptor Biomarker Measurement</t>
  </si>
  <si>
    <t xml:space="preserve">4307360</t>
  </si>
  <si>
    <t xml:space="preserve">Estrogen receptor assay</t>
  </si>
  <si>
    <t xml:space="preserve">er_status</t>
  </si>
  <si>
    <t xml:space="preserve">er_percent_positive</t>
  </si>
  <si>
    <t xml:space="preserve">4041099</t>
  </si>
  <si>
    <t xml:space="preserve">Percent</t>
  </si>
  <si>
    <t xml:space="preserve">OMOP Progesterone Receptor Biomarker Measurement</t>
  </si>
  <si>
    <t xml:space="preserve">Progesterone receptor assay measurement</t>
  </si>
  <si>
    <t xml:space="preserve">pr_status</t>
  </si>
  <si>
    <t xml:space="preserve">pr_percent_positive</t>
  </si>
  <si>
    <t xml:space="preserve">OMOP HER2 IHC Status Biomarker Measurement</t>
  </si>
  <si>
    <t xml:space="preserve">35918264</t>
  </si>
  <si>
    <t xml:space="preserve">HER2 IHC Summary</t>
  </si>
  <si>
    <t xml:space="preserve">her2_ihc_status</t>
  </si>
  <si>
    <t xml:space="preserve">OMOP HER2 ISH Status Biomarker Measurement</t>
  </si>
  <si>
    <t xml:space="preserve">35918706</t>
  </si>
  <si>
    <t xml:space="preserve">HER2 ISH Summary</t>
  </si>
  <si>
    <t xml:space="preserve">her2_ish_status</t>
  </si>
  <si>
    <t xml:space="preserve">OMOP HPV IHC Status Biomarker Observation</t>
  </si>
  <si>
    <t xml:space="preserve">45763689</t>
  </si>
  <si>
    <t xml:space="preserve">Human papillomavirus screening</t>
  </si>
  <si>
    <t xml:space="preserve">hpv_ihc_status</t>
  </si>
  <si>
    <t xml:space="preserve">45769444</t>
  </si>
  <si>
    <t xml:space="preserve">Immunohistochemistry technique</t>
  </si>
  <si>
    <t xml:space="preserve">OMOP HPV PCR Status Biomarker Observation</t>
  </si>
  <si>
    <t xml:space="preserve">hpv_pcr_status</t>
  </si>
  <si>
    <t xml:space="preserve">Polymerase chain reaction technique</t>
  </si>
  <si>
    <t xml:space="preserve">$.donors[].biomarkers[].hpv_strain[]</t>
  </si>
  <si>
    <t xml:space="preserve">OMOP HPV strain Biomarker Measurements</t>
  </si>
  <si>
    <t xml:space="preserve">Human papillomavirus typing</t>
  </si>
  <si>
    <t xml:space="preserve">hpv_strain</t>
  </si>
  <si>
    <t xml:space="preserve">$.donors[].exposures[]</t>
  </si>
  <si>
    <t xml:space="preserve">OMOP Tobacco Smoking Status Observation</t>
  </si>
  <si>
    <t xml:space="preserve">43054909</t>
  </si>
  <si>
    <t xml:space="preserve">Tobacco smoking status</t>
  </si>
  <si>
    <t xml:space="preserve">Exposure</t>
  </si>
  <si>
    <t xml:space="preserve">tobacco_smoking_status</t>
  </si>
  <si>
    <t xml:space="preserve">{current_tobacco_status_observation_id}</t>
  </si>
  <si>
    <t xml:space="preserve">OMOP Cigarette Pack Years Observation</t>
  </si>
  <si>
    <t xml:space="preserve">4151768</t>
  </si>
  <si>
    <t xml:space="preserve">Pack years</t>
  </si>
  <si>
    <t xml:space="preserve">1147165</t>
  </si>
  <si>
    <t xml:space="preserve">observation.observation_id</t>
  </si>
  <si>
    <t xml:space="preserve">pack_years_smoked</t>
  </si>
  <si>
    <t xml:space="preserve">$.donors[].exposures[].tobacco_type[]</t>
  </si>
  <si>
    <t xml:space="preserve">OMOP Tobacco Type Observation</t>
  </si>
  <si>
    <t xml:space="preserve">37172639</t>
  </si>
  <si>
    <t xml:space="preserve">Type of tobacco used</t>
  </si>
  <si>
    <t xml:space="preserve">tobacco_type</t>
  </si>
  <si>
    <t xml:space="preserve">$.donors[].comorbidities[]</t>
  </si>
  <si>
    <t xml:space="preserve">OMOP Comorbidity Condition</t>
  </si>
  <si>
    <t xml:space="preserve">Comorbidity</t>
  </si>
  <si>
    <t xml:space="preserve">comorbidity_type_code</t>
  </si>
  <si>
    <t xml:space="preserve">Calculate Date From Age</t>
  </si>
  <si>
    <t xml:space="preserve">age_at_comorbidity_diagnosis</t>
  </si>
  <si>
    <t xml:space="preserve">prior_malignancy</t>
  </si>
  <si>
    <t xml:space="preserve">condition_status_source_value</t>
  </si>
  <si>
    <t xml:space="preserve">OMOP Comorbidity Laterality Measurement</t>
  </si>
  <si>
    <t xml:space="preserve">laterality_of_prior_malignancy</t>
  </si>
  <si>
    <t xml:space="preserve">MOHCCN Comorbidity Incomplete Modeling</t>
  </si>
  <si>
    <t xml:space="preserve">Will probably need to create a comorbidity episode and link procedure_occurrence via episode_event</t>
  </si>
  <si>
    <t xml:space="preserve">comorbidity_treatment_status</t>
  </si>
  <si>
    <t xml:space="preserve">comorbidity_treatment</t>
  </si>
  <si>
    <t xml:space="preserve">MOHCCN Sample Registration Incomplete Modeling</t>
  </si>
  <si>
    <t xml:space="preserve">Sample Registration</t>
  </si>
  <si>
    <t xml:space="preserve">specimen_tissue_source</t>
  </si>
  <si>
    <t xml:space="preserve">tumour_normal_designation</t>
  </si>
  <si>
    <t xml:space="preserve">specimen_type</t>
  </si>
  <si>
    <t xml:space="preserve">submitter_sample_id</t>
  </si>
  <si>
    <t xml:space="preserve">sample_type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</si>
</sst>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d/mmm/yy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ptos Narrow"/>
      <family val="2"/>
      <charset val="1"/>
    </font>
    <font>
      <sz val="10"/>
      <color rgb="FF464646"/>
      <name val="Aptos Narrow"/>
      <family val="2"/>
      <charset val="1"/>
    </font>
    <font>
      <b val="true"/>
      <sz val="10"/>
      <color theme="1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646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07" zoomScaleNormal="107" zoomScalePageLayoutView="100" workbookViewId="0">
      <pane xSplit="2" ySplit="1" topLeftCell="C552" activePane="bottomRight" state="frozen"/>
      <selection pane="topLeft" activeCell="A1" activeCellId="0" sqref="A1"/>
      <selection pane="topRight" activeCell="C1" activeCellId="0" sqref="C1"/>
      <selection pane="bottomLeft" activeCell="A552" activeCellId="0" sqref="A552"/>
      <selection pane="bottomRight" activeCell="F566" activeCellId="0" sqref="F566"/>
    </sheetView>
  </sheetViews>
  <sheetFormatPr defaultColWidth="9.09375" defaultRowHeight="12.75" zeroHeight="false" outlineLevelRow="0" outlineLevelCol="0"/>
  <cols>
    <col collapsed="false" customWidth="true" hidden="false" outlineLevel="0" max="1" min="1" style="1" width="27.84"/>
    <col collapsed="false" customWidth="true" hidden="false" outlineLevel="0" max="2" min="2" style="2" width="24.54"/>
    <col collapsed="false" customWidth="true" hidden="false" outlineLevel="0" max="3" min="3" style="1" width="47.45"/>
    <col collapsed="false" customWidth="true" hidden="false" outlineLevel="0" max="4" min="4" style="1" width="17.73"/>
    <col collapsed="false" customWidth="true" hidden="false" outlineLevel="0" max="5" min="5" style="1" width="25.09"/>
    <col collapsed="false" customWidth="true" hidden="false" outlineLevel="0" max="6" min="6" style="1" width="29.27"/>
    <col collapsed="false" customWidth="true" hidden="false" outlineLevel="0" max="7" min="7" style="1" width="22.82"/>
    <col collapsed="false" customWidth="true" hidden="false" outlineLevel="0" max="8" min="8" style="1" width="33.54"/>
    <col collapsed="false" customWidth="true" hidden="false" outlineLevel="0" max="9" min="9" style="2" width="43.82"/>
    <col collapsed="false" customWidth="true" hidden="false" outlineLevel="0" max="10" min="10" style="1" width="13.45"/>
    <col collapsed="false" customWidth="true" hidden="false" outlineLevel="0" max="11" min="11" style="1" width="19.45"/>
    <col collapsed="false" customWidth="true" hidden="false" outlineLevel="0" max="12" min="12" style="1" width="31.82"/>
    <col collapsed="false" customWidth="false" hidden="false" outlineLevel="0" max="16384" min="13" style="1" width="9.09"/>
  </cols>
  <sheetData>
    <row r="1" customFormat="false" ht="12.7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11</v>
      </c>
    </row>
    <row r="2" customFormat="false" ht="12.75" hidden="false" customHeight="false" outlineLevel="0" collapsed="false">
      <c r="A2" s="3" t="s">
        <v>12</v>
      </c>
      <c r="B2" s="4" t="s">
        <v>13</v>
      </c>
      <c r="D2" s="1" t="s">
        <v>14</v>
      </c>
      <c r="E2" s="1" t="s">
        <v>15</v>
      </c>
      <c r="F2" s="1" t="s">
        <v>16</v>
      </c>
      <c r="G2" s="3" t="s">
        <v>17</v>
      </c>
      <c r="H2" s="3" t="s">
        <v>17</v>
      </c>
      <c r="I2" s="5" t="n">
        <v>32879</v>
      </c>
      <c r="J2" s="1" t="s">
        <v>18</v>
      </c>
      <c r="L2" s="1" t="s">
        <v>19</v>
      </c>
    </row>
    <row r="3" customFormat="false" ht="12.75" hidden="false" customHeight="false" outlineLevel="0" collapsed="false">
      <c r="D3" s="1" t="s">
        <v>14</v>
      </c>
      <c r="E3" s="1" t="s">
        <v>20</v>
      </c>
      <c r="F3" s="1" t="s">
        <v>21</v>
      </c>
      <c r="G3" s="3" t="s">
        <v>17</v>
      </c>
      <c r="H3" s="3" t="s">
        <v>17</v>
      </c>
      <c r="I3" s="1" t="s">
        <v>22</v>
      </c>
      <c r="J3" s="6"/>
      <c r="K3" s="6"/>
    </row>
    <row r="4" customFormat="false" ht="12.75" hidden="false" customHeight="false" outlineLevel="0" collapsed="false">
      <c r="D4" s="1" t="s">
        <v>23</v>
      </c>
      <c r="E4" s="1" t="s">
        <v>24</v>
      </c>
      <c r="F4" s="1" t="s">
        <v>16</v>
      </c>
      <c r="G4" s="3" t="s">
        <v>17</v>
      </c>
      <c r="H4" s="3" t="s">
        <v>17</v>
      </c>
      <c r="I4" s="5" t="n">
        <v>32879</v>
      </c>
      <c r="J4" s="1" t="s">
        <v>18</v>
      </c>
      <c r="L4" s="1" t="s">
        <v>19</v>
      </c>
    </row>
    <row r="5" customFormat="false" ht="12.75" hidden="false" customHeight="false" outlineLevel="0" collapsed="false">
      <c r="D5" s="1" t="s">
        <v>25</v>
      </c>
      <c r="E5" s="1" t="s">
        <v>26</v>
      </c>
      <c r="F5" s="1" t="s">
        <v>16</v>
      </c>
      <c r="G5" s="3" t="s">
        <v>17</v>
      </c>
      <c r="H5" s="3" t="s">
        <v>17</v>
      </c>
      <c r="I5" s="5" t="n">
        <v>32879</v>
      </c>
      <c r="J5" s="1" t="s">
        <v>18</v>
      </c>
      <c r="L5" s="1" t="s">
        <v>19</v>
      </c>
    </row>
    <row r="6" customFormat="false" ht="12.75" hidden="false" customHeight="false" outlineLevel="0" collapsed="false">
      <c r="D6" s="1" t="s">
        <v>27</v>
      </c>
      <c r="E6" s="1" t="s">
        <v>28</v>
      </c>
      <c r="F6" s="1" t="s">
        <v>16</v>
      </c>
      <c r="G6" s="3" t="s">
        <v>17</v>
      </c>
      <c r="H6" s="3" t="s">
        <v>17</v>
      </c>
      <c r="I6" s="5" t="n">
        <v>32879</v>
      </c>
      <c r="J6" s="1" t="s">
        <v>18</v>
      </c>
      <c r="L6" s="1" t="s">
        <v>19</v>
      </c>
    </row>
    <row r="7" customFormat="false" ht="12.75" hidden="false" customHeight="false" outlineLevel="0" collapsed="false">
      <c r="D7" s="1" t="s">
        <v>29</v>
      </c>
      <c r="E7" s="1" t="s">
        <v>30</v>
      </c>
      <c r="F7" s="1" t="s">
        <v>16</v>
      </c>
      <c r="G7" s="3" t="s">
        <v>17</v>
      </c>
      <c r="H7" s="3" t="s">
        <v>17</v>
      </c>
      <c r="I7" s="5" t="n">
        <v>32879</v>
      </c>
      <c r="J7" s="1" t="s">
        <v>18</v>
      </c>
      <c r="L7" s="1" t="s">
        <v>19</v>
      </c>
    </row>
    <row r="8" customFormat="false" ht="12.75" hidden="false" customHeight="false" outlineLevel="0" collapsed="false">
      <c r="D8" s="1" t="s">
        <v>29</v>
      </c>
      <c r="E8" s="1" t="s">
        <v>31</v>
      </c>
      <c r="F8" s="1" t="s">
        <v>21</v>
      </c>
      <c r="G8" s="3" t="s">
        <v>17</v>
      </c>
      <c r="H8" s="3" t="s">
        <v>17</v>
      </c>
      <c r="I8" s="1" t="s">
        <v>22</v>
      </c>
    </row>
    <row r="9" customFormat="false" ht="12.75" hidden="false" customHeight="false" outlineLevel="0" collapsed="false">
      <c r="D9" s="1" t="s">
        <v>32</v>
      </c>
      <c r="E9" s="1" t="s">
        <v>33</v>
      </c>
      <c r="F9" s="1" t="s">
        <v>16</v>
      </c>
      <c r="G9" s="3" t="s">
        <v>17</v>
      </c>
      <c r="H9" s="3" t="s">
        <v>17</v>
      </c>
      <c r="I9" s="5" t="n">
        <v>32879</v>
      </c>
      <c r="J9" s="1" t="s">
        <v>18</v>
      </c>
      <c r="L9" s="1" t="s">
        <v>19</v>
      </c>
    </row>
    <row r="10" customFormat="false" ht="12.75" hidden="false" customHeight="false" outlineLevel="0" collapsed="false">
      <c r="D10" s="1" t="s">
        <v>34</v>
      </c>
      <c r="E10" s="1" t="s">
        <v>35</v>
      </c>
      <c r="F10" s="1" t="s">
        <v>16</v>
      </c>
      <c r="G10" s="3" t="s">
        <v>17</v>
      </c>
      <c r="H10" s="3" t="s">
        <v>17</v>
      </c>
      <c r="I10" s="5" t="n">
        <v>32879</v>
      </c>
      <c r="J10" s="7" t="s">
        <v>18</v>
      </c>
      <c r="K10" s="7"/>
      <c r="L10" s="1" t="s">
        <v>19</v>
      </c>
    </row>
    <row r="11" customFormat="false" ht="12.75" hidden="false" customHeight="false" outlineLevel="0" collapsed="false">
      <c r="D11" s="1" t="s">
        <v>36</v>
      </c>
      <c r="E11" s="1" t="s">
        <v>37</v>
      </c>
      <c r="F11" s="1" t="s">
        <v>38</v>
      </c>
      <c r="G11" s="3" t="s">
        <v>39</v>
      </c>
      <c r="H11" s="3" t="s">
        <v>40</v>
      </c>
      <c r="I11" s="2" t="str">
        <f aca="false">$B$39</f>
        <v>OMOP Patient Person</v>
      </c>
      <c r="K11" s="1" t="s">
        <v>41</v>
      </c>
    </row>
    <row r="12" customFormat="false" ht="12.75" hidden="false" customHeight="false" outlineLevel="0" collapsed="false">
      <c r="D12" s="1" t="s">
        <v>14</v>
      </c>
      <c r="E12" s="1" t="s">
        <v>37</v>
      </c>
      <c r="F12" s="1" t="s">
        <v>38</v>
      </c>
      <c r="G12" s="3" t="s">
        <v>39</v>
      </c>
      <c r="H12" s="3" t="s">
        <v>40</v>
      </c>
      <c r="I12" s="2" t="str">
        <f aca="false">$B$39</f>
        <v>OMOP Patient Person</v>
      </c>
      <c r="K12" s="1" t="s">
        <v>41</v>
      </c>
    </row>
    <row r="13" customFormat="false" ht="12.75" hidden="false" customHeight="false" outlineLevel="0" collapsed="false">
      <c r="D13" s="1" t="s">
        <v>34</v>
      </c>
      <c r="E13" s="1" t="s">
        <v>37</v>
      </c>
      <c r="F13" s="1" t="s">
        <v>38</v>
      </c>
      <c r="G13" s="3" t="s">
        <v>39</v>
      </c>
      <c r="H13" s="3" t="s">
        <v>40</v>
      </c>
      <c r="I13" s="2" t="str">
        <f aca="false">$B$39</f>
        <v>OMOP Patient Person</v>
      </c>
      <c r="K13" s="1" t="s">
        <v>41</v>
      </c>
    </row>
    <row r="14" customFormat="false" ht="12.75" hidden="false" customHeight="false" outlineLevel="0" collapsed="false">
      <c r="D14" s="1" t="s">
        <v>42</v>
      </c>
      <c r="E14" s="1" t="s">
        <v>37</v>
      </c>
      <c r="F14" s="1" t="s">
        <v>38</v>
      </c>
      <c r="G14" s="3" t="s">
        <v>39</v>
      </c>
      <c r="H14" s="3" t="s">
        <v>40</v>
      </c>
      <c r="I14" s="2" t="str">
        <f aca="false">$B$39</f>
        <v>OMOP Patient Person</v>
      </c>
      <c r="K14" s="1" t="s">
        <v>41</v>
      </c>
    </row>
    <row r="15" customFormat="false" ht="12.75" hidden="false" customHeight="false" outlineLevel="0" collapsed="false">
      <c r="D15" s="1" t="s">
        <v>32</v>
      </c>
      <c r="E15" s="1" t="s">
        <v>37</v>
      </c>
      <c r="F15" s="1" t="s">
        <v>38</v>
      </c>
      <c r="G15" s="3" t="s">
        <v>39</v>
      </c>
      <c r="H15" s="3" t="s">
        <v>40</v>
      </c>
      <c r="I15" s="2" t="str">
        <f aca="false">$B$39</f>
        <v>OMOP Patient Person</v>
      </c>
      <c r="K15" s="1" t="s">
        <v>41</v>
      </c>
    </row>
    <row r="16" customFormat="false" ht="12.75" hidden="false" customHeight="false" outlineLevel="0" collapsed="false">
      <c r="D16" s="1" t="s">
        <v>29</v>
      </c>
      <c r="E16" s="1" t="s">
        <v>37</v>
      </c>
      <c r="F16" s="1" t="s">
        <v>38</v>
      </c>
      <c r="G16" s="3" t="s">
        <v>39</v>
      </c>
      <c r="H16" s="3" t="s">
        <v>40</v>
      </c>
      <c r="I16" s="2" t="str">
        <f aca="false">$B$39</f>
        <v>OMOP Patient Person</v>
      </c>
      <c r="K16" s="1" t="s">
        <v>41</v>
      </c>
    </row>
    <row r="17" customFormat="false" ht="12.75" hidden="false" customHeight="false" outlineLevel="0" collapsed="false">
      <c r="D17" s="1" t="s">
        <v>27</v>
      </c>
      <c r="E17" s="1" t="s">
        <v>37</v>
      </c>
      <c r="F17" s="1" t="s">
        <v>38</v>
      </c>
      <c r="G17" s="3" t="s">
        <v>39</v>
      </c>
      <c r="H17" s="3" t="s">
        <v>40</v>
      </c>
      <c r="I17" s="2" t="str">
        <f aca="false">$B$39</f>
        <v>OMOP Patient Person</v>
      </c>
      <c r="K17" s="1" t="s">
        <v>41</v>
      </c>
    </row>
    <row r="18" customFormat="false" ht="12.75" hidden="false" customHeight="false" outlineLevel="0" collapsed="false">
      <c r="D18" s="1" t="s">
        <v>25</v>
      </c>
      <c r="E18" s="1" t="s">
        <v>37</v>
      </c>
      <c r="F18" s="1" t="s">
        <v>38</v>
      </c>
      <c r="G18" s="3" t="s">
        <v>39</v>
      </c>
      <c r="H18" s="3" t="s">
        <v>40</v>
      </c>
      <c r="I18" s="2" t="str">
        <f aca="false">$B$39</f>
        <v>OMOP Patient Person</v>
      </c>
      <c r="K18" s="1" t="s">
        <v>41</v>
      </c>
    </row>
    <row r="19" customFormat="false" ht="12.75" hidden="false" customHeight="false" outlineLevel="0" collapsed="false">
      <c r="D19" s="1" t="s">
        <v>23</v>
      </c>
      <c r="E19" s="1" t="s">
        <v>37</v>
      </c>
      <c r="F19" s="1" t="s">
        <v>38</v>
      </c>
      <c r="G19" s="3" t="s">
        <v>39</v>
      </c>
      <c r="H19" s="3" t="s">
        <v>40</v>
      </c>
      <c r="I19" s="2" t="str">
        <f aca="false">$B$39</f>
        <v>OMOP Patient Person</v>
      </c>
      <c r="K19" s="1" t="s">
        <v>41</v>
      </c>
    </row>
    <row r="20" customFormat="false" ht="12.75" hidden="false" customHeight="false" outlineLevel="0" collapsed="false">
      <c r="D20" s="1" t="s">
        <v>29</v>
      </c>
      <c r="E20" s="1" t="s">
        <v>43</v>
      </c>
      <c r="F20" s="1" t="s">
        <v>44</v>
      </c>
      <c r="G20" s="1" t="s">
        <v>45</v>
      </c>
      <c r="H20" s="1" t="s">
        <v>46</v>
      </c>
      <c r="I20" s="2" t="str">
        <f aca="false">$B$384</f>
        <v>OMOP Specimen</v>
      </c>
    </row>
    <row r="21" customFormat="false" ht="12.75" hidden="false" customHeight="false" outlineLevel="0" collapsed="false">
      <c r="D21" s="1" t="s">
        <v>29</v>
      </c>
      <c r="E21" s="1" t="s">
        <v>43</v>
      </c>
      <c r="F21" s="1" t="s">
        <v>44</v>
      </c>
      <c r="G21" s="1" t="s">
        <v>47</v>
      </c>
      <c r="H21" s="1" t="s">
        <v>48</v>
      </c>
      <c r="I21" s="2" t="str">
        <f aca="false">$B$65</f>
        <v>OMOP Primary Dx Episode</v>
      </c>
    </row>
    <row r="22" customFormat="false" ht="12.75" hidden="false" customHeight="false" outlineLevel="0" collapsed="false">
      <c r="D22" s="1" t="s">
        <v>29</v>
      </c>
      <c r="E22" s="1" t="s">
        <v>43</v>
      </c>
      <c r="F22" s="1" t="s">
        <v>44</v>
      </c>
      <c r="G22" s="1" t="s">
        <v>49</v>
      </c>
      <c r="H22" s="1" t="s">
        <v>50</v>
      </c>
      <c r="I22" s="2" t="str">
        <f aca="false">$B$156</f>
        <v>OMOP Treatment Episode</v>
      </c>
    </row>
    <row r="23" customFormat="false" ht="12.75" hidden="false" customHeight="false" outlineLevel="0" collapsed="false">
      <c r="D23" s="1" t="s">
        <v>29</v>
      </c>
      <c r="E23" s="1" t="s">
        <v>43</v>
      </c>
      <c r="F23" s="1" t="s">
        <v>44</v>
      </c>
      <c r="G23" s="1" t="s">
        <v>51</v>
      </c>
      <c r="H23" s="1" t="s">
        <v>52</v>
      </c>
      <c r="I23" s="2" t="str">
        <f aca="false">$B$438</f>
        <v>OMOP Follow Up Visit Occurrence</v>
      </c>
    </row>
    <row r="24" customFormat="false" ht="12.75" hidden="false" customHeight="false" outlineLevel="0" collapsed="false">
      <c r="D24" s="1" t="s">
        <v>29</v>
      </c>
      <c r="E24" s="1" t="s">
        <v>53</v>
      </c>
      <c r="F24" s="1" t="s">
        <v>54</v>
      </c>
      <c r="G24" s="1" t="s">
        <v>45</v>
      </c>
      <c r="H24" s="4" t="s">
        <v>46</v>
      </c>
      <c r="I24" s="4" t="s">
        <v>55</v>
      </c>
      <c r="J24" s="1" t="s">
        <v>56</v>
      </c>
      <c r="L24" s="1" t="s">
        <v>57</v>
      </c>
    </row>
    <row r="25" customFormat="false" ht="12.75" hidden="false" customHeight="false" outlineLevel="0" collapsed="false">
      <c r="D25" s="1" t="s">
        <v>29</v>
      </c>
      <c r="E25" s="1" t="s">
        <v>53</v>
      </c>
      <c r="F25" s="1" t="s">
        <v>54</v>
      </c>
      <c r="G25" s="1" t="s">
        <v>47</v>
      </c>
      <c r="H25" s="4" t="s">
        <v>48</v>
      </c>
      <c r="I25" s="4" t="s">
        <v>58</v>
      </c>
      <c r="J25" s="1" t="s">
        <v>56</v>
      </c>
      <c r="L25" s="1" t="s">
        <v>59</v>
      </c>
    </row>
    <row r="26" customFormat="false" ht="12.75" hidden="false" customHeight="false" outlineLevel="0" collapsed="false">
      <c r="D26" s="1" t="s">
        <v>29</v>
      </c>
      <c r="E26" s="1" t="s">
        <v>53</v>
      </c>
      <c r="F26" s="1" t="s">
        <v>54</v>
      </c>
      <c r="G26" s="1" t="s">
        <v>49</v>
      </c>
      <c r="H26" s="4" t="s">
        <v>50</v>
      </c>
      <c r="I26" s="4" t="s">
        <v>58</v>
      </c>
      <c r="J26" s="1" t="s">
        <v>56</v>
      </c>
      <c r="L26" s="1" t="s">
        <v>59</v>
      </c>
    </row>
    <row r="27" customFormat="false" ht="12.75" hidden="false" customHeight="false" outlineLevel="0" collapsed="false">
      <c r="D27" s="1" t="s">
        <v>29</v>
      </c>
      <c r="E27" s="1" t="s">
        <v>53</v>
      </c>
      <c r="F27" s="1" t="s">
        <v>54</v>
      </c>
      <c r="G27" s="1" t="s">
        <v>51</v>
      </c>
      <c r="H27" s="4" t="s">
        <v>52</v>
      </c>
      <c r="I27" s="4" t="s">
        <v>60</v>
      </c>
      <c r="J27" s="1" t="s">
        <v>56</v>
      </c>
      <c r="L27" s="1" t="s">
        <v>61</v>
      </c>
    </row>
    <row r="28" s="1" customFormat="true" ht="12.75" hidden="false" customHeight="false" outlineLevel="0" collapsed="false">
      <c r="A28" s="3" t="s">
        <v>62</v>
      </c>
      <c r="B28" s="1" t="s">
        <v>63</v>
      </c>
      <c r="D28" s="1" t="s">
        <v>64</v>
      </c>
      <c r="E28" s="1" t="s">
        <v>17</v>
      </c>
      <c r="F28" s="1" t="s">
        <v>65</v>
      </c>
      <c r="G28" s="1" t="s">
        <v>17</v>
      </c>
      <c r="H28" s="1" t="s">
        <v>17</v>
      </c>
    </row>
    <row r="29" customFormat="false" ht="12.75" hidden="false" customHeight="false" outlineLevel="0" collapsed="false">
      <c r="D29" s="1" t="s">
        <v>64</v>
      </c>
      <c r="E29" s="1" t="s">
        <v>66</v>
      </c>
      <c r="F29" s="1" t="s">
        <v>21</v>
      </c>
      <c r="G29" s="1" t="s">
        <v>17</v>
      </c>
      <c r="H29" s="3" t="s">
        <v>17</v>
      </c>
      <c r="I29" s="4" t="s">
        <v>67</v>
      </c>
    </row>
    <row r="30" customFormat="false" ht="12.75" hidden="false" customHeight="false" outlineLevel="0" collapsed="false">
      <c r="D30" s="1" t="s">
        <v>64</v>
      </c>
      <c r="E30" s="1" t="s">
        <v>68</v>
      </c>
      <c r="F30" s="1" t="s">
        <v>16</v>
      </c>
      <c r="G30" s="1" t="s">
        <v>17</v>
      </c>
      <c r="H30" s="3" t="s">
        <v>17</v>
      </c>
      <c r="I30" s="4" t="s">
        <v>69</v>
      </c>
    </row>
    <row r="31" customFormat="false" ht="12.75" hidden="false" customHeight="false" outlineLevel="0" collapsed="false">
      <c r="D31" s="1" t="s">
        <v>64</v>
      </c>
      <c r="E31" s="1" t="s">
        <v>22</v>
      </c>
      <c r="F31" s="1" t="s">
        <v>16</v>
      </c>
      <c r="G31" s="1" t="s">
        <v>17</v>
      </c>
      <c r="H31" s="3" t="s">
        <v>17</v>
      </c>
      <c r="I31" s="1" t="s">
        <v>70</v>
      </c>
    </row>
    <row r="32" customFormat="false" ht="12.75" hidden="false" customHeight="false" outlineLevel="0" collapsed="false">
      <c r="D32" s="1" t="s">
        <v>64</v>
      </c>
      <c r="E32" s="1" t="s">
        <v>71</v>
      </c>
      <c r="F32" s="1" t="s">
        <v>16</v>
      </c>
      <c r="G32" s="1" t="s">
        <v>17</v>
      </c>
      <c r="H32" s="3" t="s">
        <v>17</v>
      </c>
      <c r="I32" s="2" t="n">
        <v>4255047</v>
      </c>
    </row>
    <row r="33" customFormat="false" ht="12.75" hidden="false" customHeight="false" outlineLevel="0" collapsed="false">
      <c r="D33" s="1" t="s">
        <v>64</v>
      </c>
      <c r="E33" s="1" t="s">
        <v>72</v>
      </c>
      <c r="F33" s="1" t="s">
        <v>16</v>
      </c>
      <c r="G33" s="1" t="s">
        <v>17</v>
      </c>
      <c r="H33" s="3" t="s">
        <v>17</v>
      </c>
      <c r="I33" s="2" t="s">
        <v>73</v>
      </c>
    </row>
    <row r="34" customFormat="false" ht="12.75" hidden="false" customHeight="false" outlineLevel="0" collapsed="false">
      <c r="B34" s="4" t="s">
        <v>74</v>
      </c>
      <c r="D34" s="1" t="s">
        <v>64</v>
      </c>
      <c r="E34" s="1" t="s">
        <v>17</v>
      </c>
      <c r="F34" s="1" t="s">
        <v>75</v>
      </c>
      <c r="G34" s="1" t="s">
        <v>39</v>
      </c>
      <c r="H34" s="4" t="s">
        <v>76</v>
      </c>
    </row>
    <row r="35" customFormat="false" ht="12.75" hidden="false" customHeight="false" outlineLevel="0" collapsed="false">
      <c r="D35" s="1" t="s">
        <v>64</v>
      </c>
      <c r="E35" s="1" t="s">
        <v>17</v>
      </c>
      <c r="F35" s="1" t="s">
        <v>75</v>
      </c>
      <c r="G35" s="1" t="s">
        <v>39</v>
      </c>
      <c r="H35" s="3" t="s">
        <v>40</v>
      </c>
    </row>
    <row r="36" customFormat="false" ht="12.75" hidden="false" customHeight="false" outlineLevel="0" collapsed="false">
      <c r="D36" s="1" t="s">
        <v>64</v>
      </c>
      <c r="E36" s="1" t="s">
        <v>17</v>
      </c>
      <c r="F36" s="1" t="s">
        <v>75</v>
      </c>
      <c r="G36" s="1" t="s">
        <v>39</v>
      </c>
      <c r="H36" s="3" t="s">
        <v>77</v>
      </c>
    </row>
    <row r="37" customFormat="false" ht="12.75" hidden="false" customHeight="false" outlineLevel="0" collapsed="false">
      <c r="D37" s="1" t="s">
        <v>64</v>
      </c>
      <c r="E37" s="1" t="s">
        <v>17</v>
      </c>
      <c r="F37" s="1" t="s">
        <v>75</v>
      </c>
      <c r="G37" s="1" t="s">
        <v>39</v>
      </c>
      <c r="H37" s="8" t="s">
        <v>78</v>
      </c>
    </row>
    <row r="38" s="1" customFormat="true" ht="12.75" hidden="false" customHeight="false" outlineLevel="0" collapsed="false">
      <c r="D38" s="1" t="s">
        <v>79</v>
      </c>
      <c r="E38" s="1" t="s">
        <v>80</v>
      </c>
      <c r="F38" s="1" t="s">
        <v>21</v>
      </c>
      <c r="G38" s="3" t="s">
        <v>17</v>
      </c>
      <c r="H38" s="3" t="s">
        <v>17</v>
      </c>
      <c r="I38" s="1" t="s">
        <v>81</v>
      </c>
      <c r="K38" s="1" t="s">
        <v>41</v>
      </c>
    </row>
    <row r="39" customFormat="false" ht="12.75" hidden="false" customHeight="false" outlineLevel="0" collapsed="false">
      <c r="B39" s="4" t="s">
        <v>82</v>
      </c>
      <c r="D39" s="1" t="s">
        <v>83</v>
      </c>
      <c r="E39" s="1" t="s">
        <v>37</v>
      </c>
      <c r="F39" s="1" t="s">
        <v>84</v>
      </c>
      <c r="G39" s="1" t="s">
        <v>39</v>
      </c>
      <c r="H39" s="3" t="s">
        <v>40</v>
      </c>
      <c r="K39" s="1" t="s">
        <v>41</v>
      </c>
    </row>
    <row r="40" customFormat="false" ht="12.75" hidden="false" customHeight="false" outlineLevel="0" collapsed="false">
      <c r="E40" s="1" t="s">
        <v>85</v>
      </c>
      <c r="F40" s="1" t="s">
        <v>21</v>
      </c>
      <c r="G40" s="1" t="s">
        <v>17</v>
      </c>
      <c r="H40" s="3" t="s">
        <v>17</v>
      </c>
      <c r="I40" s="1" t="s">
        <v>86</v>
      </c>
      <c r="K40" s="1" t="s">
        <v>41</v>
      </c>
    </row>
    <row r="41" customFormat="false" ht="12.75" hidden="false" customHeight="false" outlineLevel="0" collapsed="false">
      <c r="C41" s="1" t="s">
        <v>87</v>
      </c>
      <c r="E41" s="1" t="s">
        <v>88</v>
      </c>
      <c r="F41" s="1" t="s">
        <v>89</v>
      </c>
      <c r="G41" s="1" t="s">
        <v>39</v>
      </c>
      <c r="H41" s="8" t="s">
        <v>90</v>
      </c>
      <c r="J41" s="1" t="s">
        <v>91</v>
      </c>
      <c r="K41" s="1" t="s">
        <v>92</v>
      </c>
      <c r="L41" s="1" t="s">
        <v>93</v>
      </c>
    </row>
    <row r="42" customFormat="false" ht="12.75" hidden="false" customHeight="false" outlineLevel="0" collapsed="false">
      <c r="C42" s="1" t="s">
        <v>94</v>
      </c>
      <c r="E42" s="1" t="s">
        <v>95</v>
      </c>
      <c r="F42" s="1" t="s">
        <v>21</v>
      </c>
      <c r="G42" s="1" t="s">
        <v>39</v>
      </c>
      <c r="H42" s="8" t="s">
        <v>90</v>
      </c>
    </row>
    <row r="43" customFormat="false" ht="12.75" hidden="false" customHeight="false" outlineLevel="0" collapsed="false">
      <c r="C43" s="1" t="s">
        <v>96</v>
      </c>
      <c r="E43" s="1" t="s">
        <v>97</v>
      </c>
      <c r="F43" s="1" t="s">
        <v>98</v>
      </c>
      <c r="G43" s="1" t="s">
        <v>39</v>
      </c>
      <c r="H43" s="8" t="s">
        <v>78</v>
      </c>
      <c r="K43" s="1" t="s">
        <v>99</v>
      </c>
    </row>
    <row r="44" customFormat="false" ht="12.75" hidden="false" customHeight="false" outlineLevel="0" collapsed="false">
      <c r="C44" s="1" t="s">
        <v>100</v>
      </c>
      <c r="E44" s="1" t="s">
        <v>101</v>
      </c>
      <c r="F44" s="1" t="s">
        <v>102</v>
      </c>
      <c r="G44" s="1" t="s">
        <v>39</v>
      </c>
      <c r="H44" s="8" t="s">
        <v>78</v>
      </c>
      <c r="K44" s="1" t="s">
        <v>103</v>
      </c>
    </row>
    <row r="45" customFormat="false" ht="12.75" hidden="false" customHeight="false" outlineLevel="0" collapsed="false">
      <c r="C45" s="1" t="s">
        <v>104</v>
      </c>
      <c r="E45" s="1" t="s">
        <v>105</v>
      </c>
      <c r="F45" s="1" t="s">
        <v>106</v>
      </c>
      <c r="G45" s="1" t="s">
        <v>39</v>
      </c>
      <c r="H45" s="8" t="s">
        <v>78</v>
      </c>
      <c r="K45" s="1" t="s">
        <v>103</v>
      </c>
    </row>
    <row r="46" customFormat="false" ht="12.75" hidden="false" customHeight="false" outlineLevel="0" collapsed="false">
      <c r="E46" s="1" t="s">
        <v>107</v>
      </c>
      <c r="F46" s="1" t="s">
        <v>21</v>
      </c>
      <c r="G46" s="1" t="s">
        <v>17</v>
      </c>
      <c r="H46" s="3" t="s">
        <v>17</v>
      </c>
      <c r="I46" s="1" t="s">
        <v>71</v>
      </c>
    </row>
    <row r="47" customFormat="false" ht="12.75" hidden="false" customHeight="false" outlineLevel="0" collapsed="false">
      <c r="E47" s="1" t="s">
        <v>108</v>
      </c>
      <c r="F47" s="1" t="s">
        <v>21</v>
      </c>
      <c r="G47" s="1" t="s">
        <v>17</v>
      </c>
      <c r="H47" s="3" t="s">
        <v>17</v>
      </c>
      <c r="I47" s="1" t="s">
        <v>71</v>
      </c>
    </row>
    <row r="48" customFormat="false" ht="25.5" hidden="false" customHeight="false" outlineLevel="0" collapsed="false">
      <c r="B48" s="4" t="s">
        <v>109</v>
      </c>
      <c r="D48" s="1" t="s">
        <v>14</v>
      </c>
      <c r="E48" s="1" t="s">
        <v>110</v>
      </c>
      <c r="F48" s="1" t="s">
        <v>84</v>
      </c>
      <c r="G48" s="1" t="s">
        <v>39</v>
      </c>
      <c r="H48" s="3" t="s">
        <v>40</v>
      </c>
      <c r="K48" s="1" t="s">
        <v>41</v>
      </c>
    </row>
    <row r="49" customFormat="false" ht="12.75" hidden="false" customHeight="false" outlineLevel="0" collapsed="false">
      <c r="E49" s="1" t="s">
        <v>111</v>
      </c>
      <c r="F49" s="1" t="s">
        <v>16</v>
      </c>
      <c r="G49" s="3" t="s">
        <v>17</v>
      </c>
      <c r="H49" s="3" t="s">
        <v>17</v>
      </c>
      <c r="I49" s="2" t="n">
        <v>37171290</v>
      </c>
      <c r="J49" s="1" t="s">
        <v>112</v>
      </c>
      <c r="L49" s="1" t="s">
        <v>113</v>
      </c>
    </row>
    <row r="50" customFormat="false" ht="12.75" hidden="false" customHeight="false" outlineLevel="0" collapsed="false">
      <c r="C50" s="1" t="s">
        <v>114</v>
      </c>
      <c r="E50" s="1" t="s">
        <v>115</v>
      </c>
      <c r="F50" s="1" t="s">
        <v>89</v>
      </c>
      <c r="G50" s="1" t="s">
        <v>39</v>
      </c>
      <c r="H50" s="8" t="s">
        <v>116</v>
      </c>
      <c r="K50" s="1" t="s">
        <v>41</v>
      </c>
    </row>
    <row r="51" customFormat="false" ht="12.75" hidden="false" customHeight="false" outlineLevel="0" collapsed="false">
      <c r="C51" s="1" t="s">
        <v>117</v>
      </c>
      <c r="E51" s="1" t="s">
        <v>118</v>
      </c>
      <c r="F51" s="1" t="s">
        <v>21</v>
      </c>
      <c r="G51" s="1" t="s">
        <v>39</v>
      </c>
      <c r="H51" s="8" t="s">
        <v>116</v>
      </c>
    </row>
    <row r="52" customFormat="false" ht="12.75" hidden="false" customHeight="false" outlineLevel="0" collapsed="false">
      <c r="B52" s="4" t="s">
        <v>119</v>
      </c>
      <c r="D52" s="1" t="s">
        <v>36</v>
      </c>
      <c r="E52" s="1" t="s">
        <v>120</v>
      </c>
      <c r="F52" s="1" t="s">
        <v>16</v>
      </c>
      <c r="G52" s="3" t="s">
        <v>17</v>
      </c>
      <c r="H52" s="3" t="s">
        <v>17</v>
      </c>
      <c r="I52" s="5" t="n">
        <v>32879</v>
      </c>
      <c r="J52" s="7" t="s">
        <v>18</v>
      </c>
      <c r="K52" s="7"/>
      <c r="L52" s="1" t="s">
        <v>19</v>
      </c>
    </row>
    <row r="53" customFormat="false" ht="12.75" hidden="false" customHeight="false" outlineLevel="0" collapsed="false">
      <c r="C53" s="1" t="s">
        <v>121</v>
      </c>
      <c r="E53" s="1" t="s">
        <v>122</v>
      </c>
      <c r="F53" s="1" t="s">
        <v>123</v>
      </c>
      <c r="G53" s="1" t="s">
        <v>39</v>
      </c>
      <c r="H53" s="8" t="s">
        <v>124</v>
      </c>
      <c r="K53" s="1" t="s">
        <v>125</v>
      </c>
    </row>
    <row r="54" customFormat="false" ht="12.75" hidden="false" customHeight="false" outlineLevel="0" collapsed="false">
      <c r="C54" s="1" t="s">
        <v>126</v>
      </c>
      <c r="E54" s="1" t="s">
        <v>127</v>
      </c>
      <c r="F54" s="1" t="s">
        <v>89</v>
      </c>
      <c r="G54" s="1" t="s">
        <v>39</v>
      </c>
      <c r="H54" s="8" t="s">
        <v>128</v>
      </c>
    </row>
    <row r="55" customFormat="false" ht="12.75" hidden="false" customHeight="false" outlineLevel="0" collapsed="false">
      <c r="C55" s="1" t="s">
        <v>129</v>
      </c>
      <c r="E55" s="1" t="s">
        <v>130</v>
      </c>
      <c r="F55" s="1" t="s">
        <v>21</v>
      </c>
      <c r="G55" s="1" t="s">
        <v>39</v>
      </c>
      <c r="H55" s="8" t="s">
        <v>128</v>
      </c>
    </row>
    <row r="56" customFormat="false" ht="25.5" hidden="false" customHeight="false" outlineLevel="0" collapsed="false">
      <c r="B56" s="4" t="s">
        <v>131</v>
      </c>
      <c r="E56" s="1" t="s">
        <v>132</v>
      </c>
      <c r="G56" s="1" t="s">
        <v>39</v>
      </c>
      <c r="H56" s="9" t="s">
        <v>133</v>
      </c>
    </row>
    <row r="57" customFormat="false" ht="12.75" hidden="false" customHeight="false" outlineLevel="0" collapsed="false">
      <c r="E57" s="1" t="s">
        <v>132</v>
      </c>
      <c r="G57" s="1" t="s">
        <v>39</v>
      </c>
      <c r="H57" s="9" t="s">
        <v>134</v>
      </c>
    </row>
    <row r="58" customFormat="false" ht="12.75" hidden="false" customHeight="false" outlineLevel="0" collapsed="false">
      <c r="E58" s="1" t="s">
        <v>132</v>
      </c>
      <c r="G58" s="1" t="s">
        <v>39</v>
      </c>
      <c r="H58" s="9" t="s">
        <v>135</v>
      </c>
    </row>
    <row r="59" customFormat="false" ht="12.75" hidden="false" customHeight="false" outlineLevel="0" collapsed="false">
      <c r="A59" s="3" t="s">
        <v>136</v>
      </c>
      <c r="B59" s="4" t="s">
        <v>137</v>
      </c>
      <c r="D59" s="1" t="s">
        <v>64</v>
      </c>
      <c r="E59" s="1" t="s">
        <v>17</v>
      </c>
      <c r="F59" s="1" t="s">
        <v>75</v>
      </c>
      <c r="G59" s="1" t="s">
        <v>47</v>
      </c>
      <c r="H59" s="3" t="s">
        <v>48</v>
      </c>
      <c r="K59" s="1" t="s">
        <v>41</v>
      </c>
    </row>
    <row r="60" customFormat="false" ht="12.75" hidden="false" customHeight="false" outlineLevel="0" collapsed="false">
      <c r="D60" s="1" t="s">
        <v>34</v>
      </c>
      <c r="E60" s="1" t="s">
        <v>138</v>
      </c>
      <c r="F60" s="1" t="s">
        <v>84</v>
      </c>
      <c r="G60" s="1" t="s">
        <v>47</v>
      </c>
      <c r="H60" s="3" t="s">
        <v>48</v>
      </c>
      <c r="K60" s="1" t="s">
        <v>41</v>
      </c>
    </row>
    <row r="61" customFormat="false" ht="12.75" hidden="false" customHeight="false" outlineLevel="0" collapsed="false">
      <c r="C61" s="1" t="s">
        <v>139</v>
      </c>
      <c r="E61" s="1" t="s">
        <v>140</v>
      </c>
      <c r="F61" s="1" t="s">
        <v>141</v>
      </c>
      <c r="G61" s="1" t="s">
        <v>47</v>
      </c>
      <c r="H61" s="8" t="s">
        <v>142</v>
      </c>
      <c r="J61" s="1" t="s">
        <v>143</v>
      </c>
      <c r="K61" s="1" t="s">
        <v>92</v>
      </c>
    </row>
    <row r="62" customFormat="false" ht="12.75" hidden="false" customHeight="false" outlineLevel="0" collapsed="false">
      <c r="C62" s="1" t="s">
        <v>144</v>
      </c>
      <c r="E62" s="1" t="s">
        <v>145</v>
      </c>
      <c r="F62" s="1" t="s">
        <v>21</v>
      </c>
      <c r="G62" s="1" t="s">
        <v>47</v>
      </c>
      <c r="H62" s="8" t="s">
        <v>142</v>
      </c>
    </row>
    <row r="63" customFormat="false" ht="12.75" hidden="false" customHeight="false" outlineLevel="0" collapsed="false">
      <c r="C63" s="1" t="s">
        <v>146</v>
      </c>
      <c r="E63" s="1" t="s">
        <v>147</v>
      </c>
      <c r="F63" s="1" t="s">
        <v>123</v>
      </c>
      <c r="G63" s="3" t="s">
        <v>47</v>
      </c>
      <c r="H63" s="8" t="s">
        <v>148</v>
      </c>
      <c r="I63" s="1"/>
      <c r="K63" s="1" t="s">
        <v>125</v>
      </c>
    </row>
    <row r="64" customFormat="false" ht="12.75" hidden="false" customHeight="false" outlineLevel="0" collapsed="false">
      <c r="E64" s="1" t="s">
        <v>149</v>
      </c>
      <c r="F64" s="1" t="s">
        <v>16</v>
      </c>
      <c r="G64" s="3" t="s">
        <v>17</v>
      </c>
      <c r="H64" s="3" t="s">
        <v>17</v>
      </c>
      <c r="I64" s="5" t="n">
        <v>32902</v>
      </c>
      <c r="J64" s="7" t="s">
        <v>150</v>
      </c>
      <c r="K64" s="7"/>
      <c r="L64" s="1" t="s">
        <v>47</v>
      </c>
    </row>
    <row r="65" customFormat="false" ht="12.75" hidden="false" customHeight="false" outlineLevel="0" collapsed="false">
      <c r="B65" s="4" t="s">
        <v>151</v>
      </c>
      <c r="D65" s="1" t="s">
        <v>23</v>
      </c>
      <c r="E65" s="1" t="s">
        <v>152</v>
      </c>
      <c r="F65" s="1" t="s">
        <v>84</v>
      </c>
      <c r="G65" s="1" t="s">
        <v>47</v>
      </c>
      <c r="H65" s="3" t="s">
        <v>48</v>
      </c>
      <c r="K65" s="1" t="s">
        <v>41</v>
      </c>
    </row>
    <row r="66" customFormat="false" ht="12.75" hidden="false" customHeight="false" outlineLevel="0" collapsed="false">
      <c r="E66" s="1" t="s">
        <v>153</v>
      </c>
      <c r="F66" s="1" t="s">
        <v>16</v>
      </c>
      <c r="G66" s="3" t="s">
        <v>17</v>
      </c>
      <c r="H66" s="3" t="s">
        <v>17</v>
      </c>
      <c r="I66" s="4" t="s">
        <v>154</v>
      </c>
      <c r="J66" s="1" t="s">
        <v>155</v>
      </c>
      <c r="L66" s="1" t="s">
        <v>156</v>
      </c>
    </row>
    <row r="67" customFormat="false" ht="12.75" hidden="false" customHeight="false" outlineLevel="0" collapsed="false">
      <c r="E67" s="1" t="s">
        <v>157</v>
      </c>
      <c r="F67" s="1" t="s">
        <v>16</v>
      </c>
      <c r="G67" s="3" t="s">
        <v>17</v>
      </c>
      <c r="H67" s="3" t="s">
        <v>17</v>
      </c>
      <c r="I67" s="2" t="n">
        <v>0</v>
      </c>
    </row>
    <row r="68" customFormat="false" ht="12.75" hidden="false" customHeight="false" outlineLevel="0" collapsed="false">
      <c r="E68" s="1" t="s">
        <v>158</v>
      </c>
      <c r="F68" s="1" t="s">
        <v>141</v>
      </c>
      <c r="G68" s="1" t="s">
        <v>47</v>
      </c>
      <c r="H68" s="8" t="s">
        <v>142</v>
      </c>
      <c r="I68" s="1"/>
      <c r="J68" s="1" t="s">
        <v>143</v>
      </c>
      <c r="K68" s="1" t="s">
        <v>92</v>
      </c>
    </row>
    <row r="69" customFormat="false" ht="12.75" hidden="false" customHeight="false" outlineLevel="0" collapsed="false">
      <c r="E69" s="1" t="s">
        <v>159</v>
      </c>
      <c r="F69" s="1" t="s">
        <v>16</v>
      </c>
      <c r="G69" s="3" t="s">
        <v>17</v>
      </c>
      <c r="H69" s="3" t="s">
        <v>17</v>
      </c>
      <c r="I69" s="1" t="n">
        <v>1</v>
      </c>
    </row>
    <row r="70" customFormat="false" ht="12.75" hidden="false" customHeight="false" outlineLevel="0" collapsed="false">
      <c r="E70" s="1" t="s">
        <v>160</v>
      </c>
      <c r="F70" s="1" t="s">
        <v>21</v>
      </c>
      <c r="G70" s="3" t="s">
        <v>17</v>
      </c>
      <c r="H70" s="3" t="s">
        <v>17</v>
      </c>
      <c r="I70" s="1" t="s">
        <v>68</v>
      </c>
    </row>
    <row r="71" customFormat="false" ht="12.75" hidden="false" customHeight="false" outlineLevel="0" collapsed="false">
      <c r="E71" s="1" t="s">
        <v>161</v>
      </c>
      <c r="F71" s="1" t="s">
        <v>21</v>
      </c>
      <c r="G71" s="3" t="s">
        <v>17</v>
      </c>
      <c r="H71" s="3" t="s">
        <v>17</v>
      </c>
      <c r="I71" s="1" t="s">
        <v>68</v>
      </c>
    </row>
    <row r="72" customFormat="false" ht="25.5" hidden="false" customHeight="false" outlineLevel="0" collapsed="false">
      <c r="B72" s="4" t="s">
        <v>162</v>
      </c>
      <c r="D72" s="1" t="s">
        <v>163</v>
      </c>
      <c r="E72" s="1" t="s">
        <v>152</v>
      </c>
      <c r="F72" s="1" t="s">
        <v>38</v>
      </c>
      <c r="G72" s="1" t="s">
        <v>47</v>
      </c>
      <c r="H72" s="3" t="s">
        <v>48</v>
      </c>
      <c r="I72" s="1" t="str">
        <f aca="false">$B$65</f>
        <v>OMOP Primary Dx Episode</v>
      </c>
      <c r="K72" s="1" t="s">
        <v>41</v>
      </c>
    </row>
    <row r="73" customFormat="false" ht="12.75" hidden="false" customHeight="false" outlineLevel="0" collapsed="false">
      <c r="E73" s="1" t="s">
        <v>164</v>
      </c>
      <c r="F73" s="1" t="s">
        <v>38</v>
      </c>
      <c r="G73" s="1" t="s">
        <v>47</v>
      </c>
      <c r="H73" s="3" t="s">
        <v>48</v>
      </c>
      <c r="I73" s="1" t="str">
        <f aca="false">$B$59</f>
        <v>OMOP Primary Dx Condition</v>
      </c>
      <c r="K73" s="1" t="s">
        <v>41</v>
      </c>
    </row>
    <row r="74" customFormat="false" ht="12.75" hidden="false" customHeight="false" outlineLevel="0" collapsed="false">
      <c r="E74" s="1" t="s">
        <v>165</v>
      </c>
      <c r="F74" s="1" t="s">
        <v>16</v>
      </c>
      <c r="G74" s="3" t="s">
        <v>17</v>
      </c>
      <c r="H74" s="3" t="s">
        <v>17</v>
      </c>
      <c r="I74" s="2" t="n">
        <v>1147127</v>
      </c>
      <c r="J74" s="1" t="s">
        <v>56</v>
      </c>
      <c r="L74" s="1" t="s">
        <v>166</v>
      </c>
    </row>
    <row r="75" customFormat="false" ht="25.5" hidden="false" customHeight="false" outlineLevel="0" collapsed="false">
      <c r="B75" s="4" t="s">
        <v>167</v>
      </c>
      <c r="D75" s="1" t="s">
        <v>29</v>
      </c>
      <c r="E75" s="1" t="s">
        <v>168</v>
      </c>
      <c r="F75" s="1" t="s">
        <v>84</v>
      </c>
      <c r="G75" s="1" t="s">
        <v>47</v>
      </c>
      <c r="H75" s="3" t="s">
        <v>48</v>
      </c>
      <c r="K75" s="1" t="s">
        <v>41</v>
      </c>
    </row>
    <row r="76" customFormat="false" ht="12.75" hidden="false" customHeight="false" outlineLevel="0" collapsed="false">
      <c r="E76" s="1" t="s">
        <v>169</v>
      </c>
      <c r="F76" s="1" t="s">
        <v>16</v>
      </c>
      <c r="G76" s="3" t="s">
        <v>17</v>
      </c>
      <c r="H76" s="3" t="s">
        <v>17</v>
      </c>
      <c r="I76" s="2" t="n">
        <v>734306</v>
      </c>
      <c r="J76" s="1" t="s">
        <v>170</v>
      </c>
      <c r="L76" s="1" t="s">
        <v>171</v>
      </c>
    </row>
    <row r="77" customFormat="false" ht="12.75" hidden="false" customHeight="false" outlineLevel="0" collapsed="false">
      <c r="E77" s="1" t="s">
        <v>31</v>
      </c>
      <c r="F77" s="1" t="s">
        <v>21</v>
      </c>
      <c r="G77" s="3" t="s">
        <v>17</v>
      </c>
      <c r="H77" s="3" t="s">
        <v>17</v>
      </c>
      <c r="I77" s="1" t="s">
        <v>68</v>
      </c>
    </row>
    <row r="78" customFormat="false" ht="12.75" hidden="false" customHeight="false" outlineLevel="0" collapsed="false">
      <c r="E78" s="1" t="s">
        <v>43</v>
      </c>
      <c r="F78" s="1" t="s">
        <v>38</v>
      </c>
      <c r="G78" s="1" t="s">
        <v>47</v>
      </c>
      <c r="H78" s="3" t="s">
        <v>48</v>
      </c>
      <c r="I78" s="1" t="str">
        <f aca="false">$B$59</f>
        <v>OMOP Primary Dx Condition</v>
      </c>
      <c r="K78" s="1" t="s">
        <v>41</v>
      </c>
    </row>
    <row r="79" customFormat="false" ht="12.75" hidden="false" customHeight="false" outlineLevel="0" collapsed="false">
      <c r="E79" s="1" t="s">
        <v>53</v>
      </c>
      <c r="F79" s="1" t="s">
        <v>16</v>
      </c>
      <c r="G79" s="3" t="s">
        <v>17</v>
      </c>
      <c r="H79" s="3" t="s">
        <v>17</v>
      </c>
      <c r="I79" s="2" t="n">
        <v>1147127</v>
      </c>
      <c r="J79" s="1" t="s">
        <v>56</v>
      </c>
      <c r="L79" s="1" t="s">
        <v>166</v>
      </c>
    </row>
    <row r="80" customFormat="false" ht="12.75" hidden="false" customHeight="false" outlineLevel="0" collapsed="false">
      <c r="C80" s="1" t="s">
        <v>172</v>
      </c>
      <c r="E80" s="1" t="s">
        <v>115</v>
      </c>
      <c r="F80" s="1" t="s">
        <v>89</v>
      </c>
      <c r="G80" s="1" t="s">
        <v>47</v>
      </c>
      <c r="H80" s="8" t="s">
        <v>173</v>
      </c>
    </row>
    <row r="81" customFormat="false" ht="12.75" hidden="false" customHeight="false" outlineLevel="0" collapsed="false">
      <c r="C81" s="1" t="s">
        <v>174</v>
      </c>
      <c r="E81" s="1" t="s">
        <v>118</v>
      </c>
      <c r="F81" s="1" t="s">
        <v>21</v>
      </c>
      <c r="G81" s="1" t="s">
        <v>47</v>
      </c>
      <c r="H81" s="8" t="s">
        <v>173</v>
      </c>
    </row>
    <row r="82" customFormat="false" ht="25.5" hidden="false" customHeight="false" outlineLevel="0" collapsed="false">
      <c r="B82" s="4" t="s">
        <v>175</v>
      </c>
      <c r="D82" s="1" t="s">
        <v>29</v>
      </c>
      <c r="E82" s="1" t="s">
        <v>168</v>
      </c>
      <c r="F82" s="1" t="s">
        <v>84</v>
      </c>
      <c r="G82" s="1" t="s">
        <v>47</v>
      </c>
      <c r="H82" s="3" t="s">
        <v>48</v>
      </c>
      <c r="K82" s="1" t="s">
        <v>41</v>
      </c>
    </row>
    <row r="83" customFormat="false" ht="12.75" hidden="false" customHeight="false" outlineLevel="0" collapsed="false">
      <c r="E83" s="1" t="s">
        <v>169</v>
      </c>
      <c r="F83" s="1" t="s">
        <v>16</v>
      </c>
      <c r="G83" s="3" t="s">
        <v>17</v>
      </c>
      <c r="H83" s="3" t="s">
        <v>17</v>
      </c>
      <c r="I83" s="4" t="s">
        <v>176</v>
      </c>
      <c r="J83" s="1" t="s">
        <v>177</v>
      </c>
      <c r="L83" s="1" t="s">
        <v>178</v>
      </c>
    </row>
    <row r="84" customFormat="false" ht="12.75" hidden="false" customHeight="false" outlineLevel="0" collapsed="false">
      <c r="E84" s="1" t="s">
        <v>31</v>
      </c>
      <c r="F84" s="1" t="s">
        <v>21</v>
      </c>
      <c r="G84" s="3" t="s">
        <v>17</v>
      </c>
      <c r="H84" s="3" t="s">
        <v>17</v>
      </c>
      <c r="I84" s="1" t="s">
        <v>68</v>
      </c>
    </row>
    <row r="85" customFormat="false" ht="12.75" hidden="false" customHeight="false" outlineLevel="0" collapsed="false">
      <c r="E85" s="1" t="s">
        <v>43</v>
      </c>
      <c r="F85" s="1" t="s">
        <v>38</v>
      </c>
      <c r="G85" s="1" t="s">
        <v>47</v>
      </c>
      <c r="H85" s="3" t="s">
        <v>48</v>
      </c>
      <c r="I85" s="1" t="str">
        <f aca="false">$B$59</f>
        <v>OMOP Primary Dx Condition</v>
      </c>
      <c r="K85" s="1" t="s">
        <v>41</v>
      </c>
    </row>
    <row r="86" customFormat="false" ht="12.75" hidden="false" customHeight="false" outlineLevel="0" collapsed="false">
      <c r="E86" s="1" t="s">
        <v>53</v>
      </c>
      <c r="F86" s="1" t="s">
        <v>16</v>
      </c>
      <c r="G86" s="3" t="s">
        <v>17</v>
      </c>
      <c r="H86" s="3" t="s">
        <v>17</v>
      </c>
      <c r="I86" s="2" t="n">
        <v>1147127</v>
      </c>
      <c r="J86" s="1" t="s">
        <v>56</v>
      </c>
      <c r="L86" s="1" t="s">
        <v>166</v>
      </c>
    </row>
    <row r="87" customFormat="false" ht="12.75" hidden="false" customHeight="false" outlineLevel="0" collapsed="false">
      <c r="C87" s="1" t="s">
        <v>179</v>
      </c>
      <c r="E87" s="1" t="s">
        <v>115</v>
      </c>
      <c r="F87" s="1" t="s">
        <v>89</v>
      </c>
      <c r="G87" s="1" t="s">
        <v>47</v>
      </c>
      <c r="H87" s="8" t="s">
        <v>180</v>
      </c>
      <c r="K87" s="1" t="s">
        <v>41</v>
      </c>
    </row>
    <row r="88" customFormat="false" ht="12.75" hidden="false" customHeight="false" outlineLevel="0" collapsed="false">
      <c r="C88" s="1" t="s">
        <v>181</v>
      </c>
      <c r="E88" s="1" t="s">
        <v>118</v>
      </c>
      <c r="F88" s="1" t="s">
        <v>21</v>
      </c>
      <c r="G88" s="1" t="s">
        <v>47</v>
      </c>
      <c r="H88" s="8" t="s">
        <v>180</v>
      </c>
    </row>
    <row r="89" customFormat="false" ht="25.5" hidden="false" customHeight="false" outlineLevel="0" collapsed="false">
      <c r="B89" s="4" t="s">
        <v>182</v>
      </c>
      <c r="D89" s="1" t="s">
        <v>14</v>
      </c>
      <c r="E89" s="1" t="s">
        <v>110</v>
      </c>
      <c r="F89" s="1" t="s">
        <v>84</v>
      </c>
      <c r="G89" s="1" t="s">
        <v>47</v>
      </c>
      <c r="H89" s="3" t="s">
        <v>48</v>
      </c>
      <c r="K89" s="1" t="s">
        <v>41</v>
      </c>
    </row>
    <row r="90" customFormat="false" ht="12.75" hidden="false" customHeight="false" outlineLevel="0" collapsed="false">
      <c r="E90" s="1" t="s">
        <v>111</v>
      </c>
      <c r="F90" s="1" t="s">
        <v>16</v>
      </c>
      <c r="G90" s="3" t="s">
        <v>17</v>
      </c>
      <c r="H90" s="3" t="s">
        <v>17</v>
      </c>
      <c r="I90" s="4" t="s">
        <v>183</v>
      </c>
      <c r="J90" s="1" t="s">
        <v>184</v>
      </c>
      <c r="L90" s="1" t="s">
        <v>185</v>
      </c>
    </row>
    <row r="91" customFormat="false" ht="12.75" hidden="false" customHeight="false" outlineLevel="0" collapsed="false">
      <c r="E91" s="1" t="s">
        <v>20</v>
      </c>
      <c r="F91" s="1" t="s">
        <v>21</v>
      </c>
      <c r="G91" s="3" t="s">
        <v>17</v>
      </c>
      <c r="H91" s="3" t="s">
        <v>17</v>
      </c>
      <c r="I91" s="1" t="s">
        <v>68</v>
      </c>
    </row>
    <row r="92" customFormat="false" ht="12.75" hidden="false" customHeight="false" outlineLevel="0" collapsed="false">
      <c r="C92" s="1" t="s">
        <v>186</v>
      </c>
      <c r="E92" s="1" t="s">
        <v>115</v>
      </c>
      <c r="F92" s="1" t="s">
        <v>89</v>
      </c>
      <c r="G92" s="1" t="s">
        <v>47</v>
      </c>
      <c r="H92" s="8" t="s">
        <v>187</v>
      </c>
      <c r="K92" s="1" t="s">
        <v>41</v>
      </c>
    </row>
    <row r="93" customFormat="false" ht="12.75" hidden="false" customHeight="false" outlineLevel="0" collapsed="false">
      <c r="C93" s="1" t="s">
        <v>188</v>
      </c>
      <c r="E93" s="1" t="s">
        <v>118</v>
      </c>
      <c r="F93" s="1" t="s">
        <v>21</v>
      </c>
      <c r="G93" s="1" t="s">
        <v>47</v>
      </c>
      <c r="H93" s="8" t="s">
        <v>187</v>
      </c>
    </row>
    <row r="94" customFormat="false" ht="12.75" hidden="false" customHeight="false" outlineLevel="0" collapsed="false">
      <c r="E94" s="1" t="s">
        <v>189</v>
      </c>
      <c r="F94" s="1" t="s">
        <v>38</v>
      </c>
      <c r="G94" s="1" t="s">
        <v>47</v>
      </c>
      <c r="H94" s="3" t="s">
        <v>48</v>
      </c>
      <c r="I94" s="1" t="str">
        <f aca="false">$B$59</f>
        <v>OMOP Primary Dx Condition</v>
      </c>
      <c r="K94" s="1" t="s">
        <v>41</v>
      </c>
    </row>
    <row r="95" customFormat="false" ht="12.75" hidden="false" customHeight="false" outlineLevel="0" collapsed="false">
      <c r="E95" s="1" t="s">
        <v>190</v>
      </c>
      <c r="F95" s="1" t="s">
        <v>16</v>
      </c>
      <c r="G95" s="3" t="s">
        <v>17</v>
      </c>
      <c r="H95" s="3" t="s">
        <v>17</v>
      </c>
      <c r="I95" s="2" t="n">
        <v>1147127</v>
      </c>
      <c r="J95" s="1" t="s">
        <v>56</v>
      </c>
      <c r="L95" s="1" t="s">
        <v>166</v>
      </c>
    </row>
    <row r="96" customFormat="false" ht="25.5" hidden="false" customHeight="false" outlineLevel="0" collapsed="false">
      <c r="B96" s="4" t="s">
        <v>191</v>
      </c>
      <c r="D96" s="1" t="s">
        <v>29</v>
      </c>
      <c r="E96" s="1" t="s">
        <v>168</v>
      </c>
      <c r="F96" s="1" t="s">
        <v>84</v>
      </c>
      <c r="G96" s="1" t="s">
        <v>47</v>
      </c>
      <c r="H96" s="3" t="s">
        <v>48</v>
      </c>
      <c r="K96" s="1" t="s">
        <v>41</v>
      </c>
    </row>
    <row r="97" customFormat="false" ht="12.75" hidden="false" customHeight="false" outlineLevel="0" collapsed="false">
      <c r="E97" s="1" t="s">
        <v>169</v>
      </c>
      <c r="F97" s="1" t="s">
        <v>16</v>
      </c>
      <c r="G97" s="3" t="s">
        <v>17</v>
      </c>
      <c r="H97" s="3" t="s">
        <v>17</v>
      </c>
      <c r="I97" s="4" t="s">
        <v>192</v>
      </c>
      <c r="J97" s="1" t="s">
        <v>112</v>
      </c>
      <c r="L97" s="1" t="s">
        <v>193</v>
      </c>
    </row>
    <row r="98" customFormat="false" ht="12.75" hidden="false" customHeight="false" outlineLevel="0" collapsed="false">
      <c r="E98" s="1" t="s">
        <v>31</v>
      </c>
      <c r="F98" s="1" t="s">
        <v>21</v>
      </c>
      <c r="G98" s="3" t="s">
        <v>17</v>
      </c>
      <c r="H98" s="3" t="s">
        <v>17</v>
      </c>
      <c r="I98" s="1" t="s">
        <v>68</v>
      </c>
    </row>
    <row r="99" customFormat="false" ht="12.75" hidden="false" customHeight="false" outlineLevel="0" collapsed="false">
      <c r="E99" s="1" t="s">
        <v>43</v>
      </c>
      <c r="F99" s="1" t="s">
        <v>38</v>
      </c>
      <c r="G99" s="1" t="s">
        <v>47</v>
      </c>
      <c r="H99" s="3" t="s">
        <v>48</v>
      </c>
      <c r="I99" s="1" t="str">
        <f aca="false">$B$59</f>
        <v>OMOP Primary Dx Condition</v>
      </c>
      <c r="K99" s="1" t="s">
        <v>41</v>
      </c>
    </row>
    <row r="100" customFormat="false" ht="12.75" hidden="false" customHeight="false" outlineLevel="0" collapsed="false">
      <c r="E100" s="1" t="s">
        <v>53</v>
      </c>
      <c r="F100" s="1" t="s">
        <v>16</v>
      </c>
      <c r="G100" s="3" t="s">
        <v>17</v>
      </c>
      <c r="H100" s="3" t="s">
        <v>17</v>
      </c>
      <c r="I100" s="2" t="n">
        <v>1147127</v>
      </c>
      <c r="J100" s="1" t="s">
        <v>56</v>
      </c>
      <c r="L100" s="1" t="s">
        <v>166</v>
      </c>
    </row>
    <row r="101" customFormat="false" ht="12.75" hidden="false" customHeight="false" outlineLevel="0" collapsed="false">
      <c r="C101" s="1" t="s">
        <v>194</v>
      </c>
      <c r="E101" s="1" t="s">
        <v>115</v>
      </c>
      <c r="F101" s="1" t="s">
        <v>89</v>
      </c>
      <c r="G101" s="1" t="s">
        <v>47</v>
      </c>
      <c r="H101" s="8" t="s">
        <v>195</v>
      </c>
      <c r="K101" s="1" t="s">
        <v>41</v>
      </c>
    </row>
    <row r="102" customFormat="false" ht="12.75" hidden="false" customHeight="false" outlineLevel="0" collapsed="false">
      <c r="C102" s="1" t="s">
        <v>196</v>
      </c>
      <c r="E102" s="1" t="s">
        <v>118</v>
      </c>
      <c r="F102" s="1" t="s">
        <v>21</v>
      </c>
      <c r="G102" s="1" t="s">
        <v>47</v>
      </c>
      <c r="H102" s="8" t="s">
        <v>195</v>
      </c>
    </row>
    <row r="103" customFormat="false" ht="25.5" hidden="false" customHeight="false" outlineLevel="0" collapsed="false">
      <c r="B103" s="4" t="s">
        <v>197</v>
      </c>
      <c r="D103" s="1" t="s">
        <v>29</v>
      </c>
      <c r="E103" s="1" t="s">
        <v>168</v>
      </c>
      <c r="F103" s="1" t="s">
        <v>84</v>
      </c>
      <c r="G103" s="1" t="s">
        <v>47</v>
      </c>
      <c r="H103" s="3" t="s">
        <v>48</v>
      </c>
      <c r="K103" s="1" t="s">
        <v>41</v>
      </c>
    </row>
    <row r="104" customFormat="false" ht="12.75" hidden="false" customHeight="false" outlineLevel="0" collapsed="false">
      <c r="E104" s="1" t="s">
        <v>169</v>
      </c>
      <c r="F104" s="1" t="s">
        <v>16</v>
      </c>
      <c r="G104" s="3" t="s">
        <v>17</v>
      </c>
      <c r="H104" s="3" t="s">
        <v>17</v>
      </c>
      <c r="I104" s="4" t="s">
        <v>198</v>
      </c>
      <c r="J104" s="1" t="s">
        <v>112</v>
      </c>
      <c r="L104" s="1" t="s">
        <v>199</v>
      </c>
    </row>
    <row r="105" customFormat="false" ht="12.75" hidden="false" customHeight="false" outlineLevel="0" collapsed="false">
      <c r="E105" s="1" t="s">
        <v>31</v>
      </c>
      <c r="F105" s="1" t="s">
        <v>21</v>
      </c>
      <c r="G105" s="3" t="s">
        <v>17</v>
      </c>
      <c r="H105" s="3" t="s">
        <v>17</v>
      </c>
      <c r="I105" s="1" t="s">
        <v>68</v>
      </c>
    </row>
    <row r="106" customFormat="false" ht="12.75" hidden="false" customHeight="false" outlineLevel="0" collapsed="false">
      <c r="E106" s="1" t="s">
        <v>43</v>
      </c>
      <c r="F106" s="1" t="s">
        <v>38</v>
      </c>
      <c r="G106" s="1" t="s">
        <v>47</v>
      </c>
      <c r="H106" s="3" t="s">
        <v>48</v>
      </c>
      <c r="I106" s="1" t="str">
        <f aca="false">$B$59</f>
        <v>OMOP Primary Dx Condition</v>
      </c>
      <c r="K106" s="1" t="s">
        <v>41</v>
      </c>
    </row>
    <row r="107" customFormat="false" ht="12.75" hidden="false" customHeight="false" outlineLevel="0" collapsed="false">
      <c r="E107" s="1" t="s">
        <v>53</v>
      </c>
      <c r="F107" s="1" t="s">
        <v>16</v>
      </c>
      <c r="G107" s="3" t="s">
        <v>17</v>
      </c>
      <c r="H107" s="3" t="s">
        <v>17</v>
      </c>
      <c r="I107" s="2" t="n">
        <v>1147127</v>
      </c>
      <c r="J107" s="1" t="s">
        <v>56</v>
      </c>
      <c r="L107" s="1" t="s">
        <v>166</v>
      </c>
    </row>
    <row r="108" customFormat="false" ht="12.75" hidden="false" customHeight="false" outlineLevel="0" collapsed="false">
      <c r="C108" s="1" t="s">
        <v>200</v>
      </c>
      <c r="E108" s="1" t="s">
        <v>115</v>
      </c>
      <c r="F108" s="1" t="s">
        <v>89</v>
      </c>
      <c r="G108" s="1" t="s">
        <v>47</v>
      </c>
      <c r="H108" s="8" t="s">
        <v>201</v>
      </c>
      <c r="K108" s="1" t="s">
        <v>41</v>
      </c>
    </row>
    <row r="109" customFormat="false" ht="12.75" hidden="false" customHeight="false" outlineLevel="0" collapsed="false">
      <c r="C109" s="1" t="s">
        <v>202</v>
      </c>
      <c r="E109" s="1" t="s">
        <v>118</v>
      </c>
      <c r="F109" s="1" t="s">
        <v>21</v>
      </c>
      <c r="G109" s="1" t="s">
        <v>47</v>
      </c>
      <c r="H109" s="8" t="s">
        <v>201</v>
      </c>
    </row>
    <row r="110" customFormat="false" ht="25.5" hidden="false" customHeight="false" outlineLevel="0" collapsed="false">
      <c r="B110" s="4" t="s">
        <v>203</v>
      </c>
      <c r="D110" s="1" t="s">
        <v>29</v>
      </c>
      <c r="E110" s="1" t="s">
        <v>168</v>
      </c>
      <c r="F110" s="1" t="s">
        <v>84</v>
      </c>
      <c r="G110" s="1" t="s">
        <v>47</v>
      </c>
      <c r="H110" s="3" t="s">
        <v>48</v>
      </c>
      <c r="K110" s="1" t="s">
        <v>41</v>
      </c>
    </row>
    <row r="111" customFormat="false" ht="12.75" hidden="false" customHeight="false" outlineLevel="0" collapsed="false">
      <c r="E111" s="1" t="s">
        <v>169</v>
      </c>
      <c r="F111" s="1" t="s">
        <v>16</v>
      </c>
      <c r="G111" s="3" t="s">
        <v>17</v>
      </c>
      <c r="H111" s="3" t="s">
        <v>17</v>
      </c>
      <c r="I111" s="4" t="s">
        <v>204</v>
      </c>
      <c r="J111" s="1" t="s">
        <v>112</v>
      </c>
      <c r="L111" s="1" t="s">
        <v>205</v>
      </c>
    </row>
    <row r="112" customFormat="false" ht="12.75" hidden="false" customHeight="false" outlineLevel="0" collapsed="false">
      <c r="E112" s="1" t="s">
        <v>31</v>
      </c>
      <c r="F112" s="1" t="s">
        <v>21</v>
      </c>
      <c r="G112" s="3" t="s">
        <v>17</v>
      </c>
      <c r="H112" s="3" t="s">
        <v>17</v>
      </c>
      <c r="I112" s="1" t="s">
        <v>68</v>
      </c>
    </row>
    <row r="113" customFormat="false" ht="12.75" hidden="false" customHeight="false" outlineLevel="0" collapsed="false">
      <c r="E113" s="1" t="s">
        <v>43</v>
      </c>
      <c r="F113" s="1" t="s">
        <v>38</v>
      </c>
      <c r="G113" s="1" t="s">
        <v>47</v>
      </c>
      <c r="H113" s="3" t="s">
        <v>48</v>
      </c>
      <c r="I113" s="1" t="str">
        <f aca="false">$B$59</f>
        <v>OMOP Primary Dx Condition</v>
      </c>
      <c r="K113" s="1" t="s">
        <v>41</v>
      </c>
    </row>
    <row r="114" customFormat="false" ht="12.75" hidden="false" customHeight="false" outlineLevel="0" collapsed="false">
      <c r="E114" s="1" t="s">
        <v>53</v>
      </c>
      <c r="F114" s="1" t="s">
        <v>16</v>
      </c>
      <c r="G114" s="3" t="s">
        <v>17</v>
      </c>
      <c r="H114" s="3" t="s">
        <v>17</v>
      </c>
      <c r="I114" s="2" t="n">
        <v>1147127</v>
      </c>
      <c r="J114" s="1" t="s">
        <v>56</v>
      </c>
      <c r="L114" s="1" t="s">
        <v>166</v>
      </c>
    </row>
    <row r="115" customFormat="false" ht="12.75" hidden="false" customHeight="false" outlineLevel="0" collapsed="false">
      <c r="C115" s="1" t="s">
        <v>206</v>
      </c>
      <c r="E115" s="1" t="s">
        <v>115</v>
      </c>
      <c r="F115" s="1" t="s">
        <v>89</v>
      </c>
      <c r="G115" s="1" t="s">
        <v>47</v>
      </c>
      <c r="H115" s="8" t="s">
        <v>207</v>
      </c>
      <c r="K115" s="1" t="s">
        <v>41</v>
      </c>
    </row>
    <row r="116" customFormat="false" ht="12.75" hidden="false" customHeight="false" outlineLevel="0" collapsed="false">
      <c r="C116" s="1" t="s">
        <v>208</v>
      </c>
      <c r="E116" s="1" t="s">
        <v>118</v>
      </c>
      <c r="F116" s="1" t="s">
        <v>21</v>
      </c>
      <c r="G116" s="1" t="s">
        <v>47</v>
      </c>
      <c r="H116" s="8" t="s">
        <v>207</v>
      </c>
    </row>
    <row r="117" customFormat="false" ht="25.5" hidden="false" customHeight="false" outlineLevel="0" collapsed="false">
      <c r="B117" s="4" t="s">
        <v>209</v>
      </c>
      <c r="D117" s="1" t="s">
        <v>14</v>
      </c>
      <c r="E117" s="1" t="s">
        <v>110</v>
      </c>
      <c r="F117" s="1" t="s">
        <v>84</v>
      </c>
      <c r="G117" s="1" t="s">
        <v>47</v>
      </c>
      <c r="H117" s="3" t="s">
        <v>48</v>
      </c>
      <c r="K117" s="1" t="s">
        <v>41</v>
      </c>
    </row>
    <row r="118" customFormat="false" ht="12.75" hidden="false" customHeight="false" outlineLevel="0" collapsed="false">
      <c r="C118" s="1" t="s">
        <v>210</v>
      </c>
      <c r="E118" s="1" t="s">
        <v>111</v>
      </c>
      <c r="F118" s="1" t="s">
        <v>16</v>
      </c>
      <c r="G118" s="1" t="s">
        <v>17</v>
      </c>
      <c r="H118" s="8" t="s">
        <v>17</v>
      </c>
      <c r="I118" s="2" t="s">
        <v>211</v>
      </c>
      <c r="J118" s="1" t="s">
        <v>112</v>
      </c>
      <c r="L118" s="1" t="s">
        <v>212</v>
      </c>
    </row>
    <row r="119" customFormat="false" ht="12.75" hidden="false" customHeight="false" outlineLevel="0" collapsed="false">
      <c r="E119" s="1" t="s">
        <v>20</v>
      </c>
      <c r="F119" s="1" t="s">
        <v>21</v>
      </c>
      <c r="G119" s="3" t="s">
        <v>17</v>
      </c>
      <c r="H119" s="3" t="s">
        <v>17</v>
      </c>
      <c r="I119" s="1" t="s">
        <v>68</v>
      </c>
    </row>
    <row r="120" customFormat="false" ht="12.75" hidden="false" customHeight="false" outlineLevel="0" collapsed="false">
      <c r="E120" s="1" t="s">
        <v>189</v>
      </c>
      <c r="F120" s="1" t="s">
        <v>38</v>
      </c>
      <c r="G120" s="1" t="s">
        <v>47</v>
      </c>
      <c r="H120" s="3" t="s">
        <v>48</v>
      </c>
      <c r="I120" s="1" t="str">
        <f aca="false">$B$59</f>
        <v>OMOP Primary Dx Condition</v>
      </c>
    </row>
    <row r="121" customFormat="false" ht="12.75" hidden="false" customHeight="false" outlineLevel="0" collapsed="false">
      <c r="E121" s="1" t="s">
        <v>190</v>
      </c>
      <c r="F121" s="1" t="s">
        <v>16</v>
      </c>
      <c r="G121" s="3" t="s">
        <v>17</v>
      </c>
      <c r="H121" s="3" t="s">
        <v>17</v>
      </c>
      <c r="I121" s="2" t="n">
        <v>1147127</v>
      </c>
      <c r="J121" s="1" t="s">
        <v>56</v>
      </c>
      <c r="L121" s="1" t="s">
        <v>166</v>
      </c>
    </row>
    <row r="122" customFormat="false" ht="12.75" hidden="false" customHeight="false" outlineLevel="0" collapsed="false">
      <c r="C122" s="1" t="s">
        <v>213</v>
      </c>
      <c r="E122" s="1" t="s">
        <v>115</v>
      </c>
      <c r="F122" s="1" t="s">
        <v>89</v>
      </c>
      <c r="G122" s="1" t="s">
        <v>47</v>
      </c>
      <c r="H122" s="8" t="s">
        <v>214</v>
      </c>
    </row>
    <row r="123" customFormat="false" ht="12.75" hidden="false" customHeight="false" outlineLevel="0" collapsed="false">
      <c r="C123" s="1" t="s">
        <v>215</v>
      </c>
      <c r="E123" s="1" t="s">
        <v>118</v>
      </c>
      <c r="F123" s="1" t="s">
        <v>21</v>
      </c>
      <c r="G123" s="1" t="s">
        <v>47</v>
      </c>
      <c r="H123" s="8" t="s">
        <v>214</v>
      </c>
    </row>
    <row r="124" customFormat="false" ht="12.75" hidden="false" customHeight="false" outlineLevel="0" collapsed="false">
      <c r="C124" s="1" t="s">
        <v>210</v>
      </c>
      <c r="E124" s="1" t="s">
        <v>216</v>
      </c>
      <c r="F124" s="1" t="s">
        <v>89</v>
      </c>
      <c r="G124" s="1" t="s">
        <v>47</v>
      </c>
      <c r="H124" s="8" t="s">
        <v>217</v>
      </c>
    </row>
    <row r="125" customFormat="false" ht="12.75" hidden="false" customHeight="false" outlineLevel="0" collapsed="false">
      <c r="C125" s="1" t="s">
        <v>218</v>
      </c>
      <c r="E125" s="1" t="s">
        <v>219</v>
      </c>
      <c r="F125" s="1" t="s">
        <v>21</v>
      </c>
      <c r="G125" s="1" t="s">
        <v>47</v>
      </c>
      <c r="H125" s="8" t="s">
        <v>217</v>
      </c>
    </row>
    <row r="126" customFormat="false" ht="25.5" hidden="false" customHeight="false" outlineLevel="0" collapsed="false">
      <c r="B126" s="4" t="s">
        <v>220</v>
      </c>
      <c r="D126" s="1" t="s">
        <v>29</v>
      </c>
      <c r="E126" s="1" t="s">
        <v>168</v>
      </c>
      <c r="F126" s="1" t="s">
        <v>84</v>
      </c>
      <c r="G126" s="1" t="s">
        <v>47</v>
      </c>
      <c r="H126" s="3" t="s">
        <v>48</v>
      </c>
      <c r="K126" s="1" t="s">
        <v>41</v>
      </c>
    </row>
    <row r="127" customFormat="false" ht="12.75" hidden="false" customHeight="false" outlineLevel="0" collapsed="false">
      <c r="E127" s="1" t="s">
        <v>169</v>
      </c>
      <c r="F127" s="1" t="s">
        <v>16</v>
      </c>
      <c r="G127" s="3" t="s">
        <v>17</v>
      </c>
      <c r="H127" s="3" t="s">
        <v>17</v>
      </c>
      <c r="I127" s="4" t="s">
        <v>221</v>
      </c>
      <c r="J127" s="1" t="s">
        <v>112</v>
      </c>
      <c r="L127" s="1" t="s">
        <v>222</v>
      </c>
    </row>
    <row r="128" customFormat="false" ht="12.75" hidden="false" customHeight="false" outlineLevel="0" collapsed="false">
      <c r="E128" s="1" t="s">
        <v>31</v>
      </c>
      <c r="F128" s="1" t="s">
        <v>21</v>
      </c>
      <c r="G128" s="3" t="s">
        <v>17</v>
      </c>
      <c r="H128" s="3" t="s">
        <v>17</v>
      </c>
      <c r="I128" s="1" t="s">
        <v>68</v>
      </c>
    </row>
    <row r="129" customFormat="false" ht="12.75" hidden="false" customHeight="false" outlineLevel="0" collapsed="false">
      <c r="E129" s="1" t="s">
        <v>43</v>
      </c>
      <c r="F129" s="1" t="s">
        <v>38</v>
      </c>
      <c r="G129" s="1" t="s">
        <v>47</v>
      </c>
      <c r="H129" s="3" t="s">
        <v>48</v>
      </c>
      <c r="I129" s="1" t="str">
        <f aca="false">$B$59</f>
        <v>OMOP Primary Dx Condition</v>
      </c>
      <c r="K129" s="1" t="s">
        <v>41</v>
      </c>
    </row>
    <row r="130" customFormat="false" ht="12.75" hidden="false" customHeight="false" outlineLevel="0" collapsed="false">
      <c r="E130" s="1" t="s">
        <v>53</v>
      </c>
      <c r="F130" s="1" t="s">
        <v>16</v>
      </c>
      <c r="G130" s="3" t="s">
        <v>17</v>
      </c>
      <c r="H130" s="3" t="s">
        <v>17</v>
      </c>
      <c r="I130" s="2" t="n">
        <v>1147127</v>
      </c>
      <c r="J130" s="1" t="s">
        <v>56</v>
      </c>
      <c r="L130" s="1" t="s">
        <v>166</v>
      </c>
    </row>
    <row r="131" customFormat="false" ht="12.75" hidden="false" customHeight="false" outlineLevel="0" collapsed="false">
      <c r="C131" s="1" t="s">
        <v>223</v>
      </c>
      <c r="E131" s="1" t="s">
        <v>115</v>
      </c>
      <c r="F131" s="1" t="s">
        <v>89</v>
      </c>
      <c r="G131" s="1" t="s">
        <v>47</v>
      </c>
      <c r="H131" s="8" t="s">
        <v>224</v>
      </c>
      <c r="K131" s="1" t="s">
        <v>41</v>
      </c>
    </row>
    <row r="132" customFormat="false" ht="12.75" hidden="false" customHeight="false" outlineLevel="0" collapsed="false">
      <c r="C132" s="1" t="s">
        <v>225</v>
      </c>
      <c r="E132" s="1" t="s">
        <v>118</v>
      </c>
      <c r="F132" s="1" t="s">
        <v>21</v>
      </c>
      <c r="G132" s="1" t="s">
        <v>47</v>
      </c>
      <c r="H132" s="8" t="s">
        <v>224</v>
      </c>
    </row>
    <row r="133" customFormat="false" ht="25.5" hidden="false" customHeight="false" outlineLevel="0" collapsed="false">
      <c r="B133" s="4" t="s">
        <v>226</v>
      </c>
      <c r="D133" s="1" t="s">
        <v>29</v>
      </c>
      <c r="E133" s="1" t="s">
        <v>168</v>
      </c>
      <c r="F133" s="1" t="s">
        <v>84</v>
      </c>
      <c r="G133" s="1" t="s">
        <v>47</v>
      </c>
      <c r="H133" s="3" t="s">
        <v>48</v>
      </c>
      <c r="K133" s="1" t="s">
        <v>41</v>
      </c>
    </row>
    <row r="134" customFormat="false" ht="12.75" hidden="false" customHeight="false" outlineLevel="0" collapsed="false">
      <c r="E134" s="1" t="s">
        <v>169</v>
      </c>
      <c r="F134" s="1" t="s">
        <v>16</v>
      </c>
      <c r="G134" s="3" t="s">
        <v>17</v>
      </c>
      <c r="H134" s="3" t="s">
        <v>17</v>
      </c>
      <c r="I134" s="4" t="s">
        <v>227</v>
      </c>
      <c r="J134" s="1" t="s">
        <v>112</v>
      </c>
      <c r="L134" s="1" t="s">
        <v>228</v>
      </c>
    </row>
    <row r="135" customFormat="false" ht="12.75" hidden="false" customHeight="false" outlineLevel="0" collapsed="false">
      <c r="E135" s="1" t="s">
        <v>31</v>
      </c>
      <c r="F135" s="1" t="s">
        <v>21</v>
      </c>
      <c r="G135" s="3" t="s">
        <v>17</v>
      </c>
      <c r="H135" s="3" t="s">
        <v>17</v>
      </c>
      <c r="I135" s="1" t="s">
        <v>68</v>
      </c>
    </row>
    <row r="136" customFormat="false" ht="12.75" hidden="false" customHeight="false" outlineLevel="0" collapsed="false">
      <c r="E136" s="1" t="s">
        <v>43</v>
      </c>
      <c r="F136" s="1" t="s">
        <v>38</v>
      </c>
      <c r="G136" s="1" t="s">
        <v>47</v>
      </c>
      <c r="H136" s="3" t="s">
        <v>48</v>
      </c>
      <c r="I136" s="1" t="str">
        <f aca="false">$B$59</f>
        <v>OMOP Primary Dx Condition</v>
      </c>
      <c r="K136" s="1" t="s">
        <v>41</v>
      </c>
    </row>
    <row r="137" customFormat="false" ht="12.75" hidden="false" customHeight="false" outlineLevel="0" collapsed="false">
      <c r="E137" s="1" t="s">
        <v>53</v>
      </c>
      <c r="F137" s="1" t="s">
        <v>16</v>
      </c>
      <c r="G137" s="3" t="s">
        <v>17</v>
      </c>
      <c r="H137" s="3" t="s">
        <v>17</v>
      </c>
      <c r="I137" s="2" t="n">
        <v>1147127</v>
      </c>
      <c r="J137" s="1" t="s">
        <v>56</v>
      </c>
      <c r="L137" s="1" t="s">
        <v>166</v>
      </c>
    </row>
    <row r="138" customFormat="false" ht="12.75" hidden="false" customHeight="false" outlineLevel="0" collapsed="false">
      <c r="C138" s="1" t="s">
        <v>229</v>
      </c>
      <c r="E138" s="1" t="s">
        <v>115</v>
      </c>
      <c r="F138" s="1" t="s">
        <v>89</v>
      </c>
      <c r="G138" s="1" t="s">
        <v>47</v>
      </c>
      <c r="H138" s="8" t="s">
        <v>230</v>
      </c>
      <c r="K138" s="1" t="s">
        <v>41</v>
      </c>
    </row>
    <row r="139" customFormat="false" ht="12.75" hidden="false" customHeight="false" outlineLevel="0" collapsed="false">
      <c r="C139" s="1" t="s">
        <v>231</v>
      </c>
      <c r="E139" s="1" t="s">
        <v>118</v>
      </c>
      <c r="F139" s="1" t="s">
        <v>21</v>
      </c>
      <c r="G139" s="1" t="s">
        <v>47</v>
      </c>
      <c r="H139" s="8" t="s">
        <v>230</v>
      </c>
    </row>
    <row r="140" customFormat="false" ht="25.5" hidden="false" customHeight="false" outlineLevel="0" collapsed="false">
      <c r="B140" s="4" t="s">
        <v>232</v>
      </c>
      <c r="D140" s="1" t="s">
        <v>29</v>
      </c>
      <c r="E140" s="1" t="s">
        <v>168</v>
      </c>
      <c r="F140" s="1" t="s">
        <v>84</v>
      </c>
      <c r="G140" s="1" t="s">
        <v>47</v>
      </c>
      <c r="H140" s="3" t="s">
        <v>48</v>
      </c>
      <c r="K140" s="1" t="s">
        <v>41</v>
      </c>
    </row>
    <row r="141" customFormat="false" ht="12.75" hidden="false" customHeight="false" outlineLevel="0" collapsed="false">
      <c r="E141" s="1" t="s">
        <v>169</v>
      </c>
      <c r="F141" s="1" t="s">
        <v>16</v>
      </c>
      <c r="G141" s="3" t="s">
        <v>17</v>
      </c>
      <c r="H141" s="3" t="s">
        <v>17</v>
      </c>
      <c r="I141" s="4" t="s">
        <v>233</v>
      </c>
      <c r="J141" s="1" t="s">
        <v>112</v>
      </c>
      <c r="L141" s="1" t="s">
        <v>234</v>
      </c>
    </row>
    <row r="142" customFormat="false" ht="12.75" hidden="false" customHeight="false" outlineLevel="0" collapsed="false">
      <c r="E142" s="1" t="s">
        <v>31</v>
      </c>
      <c r="F142" s="1" t="s">
        <v>21</v>
      </c>
      <c r="G142" s="3" t="s">
        <v>17</v>
      </c>
      <c r="H142" s="3" t="s">
        <v>17</v>
      </c>
      <c r="I142" s="1" t="s">
        <v>68</v>
      </c>
    </row>
    <row r="143" customFormat="false" ht="12.75" hidden="false" customHeight="false" outlineLevel="0" collapsed="false">
      <c r="E143" s="1" t="s">
        <v>43</v>
      </c>
      <c r="F143" s="1" t="s">
        <v>38</v>
      </c>
      <c r="G143" s="1" t="s">
        <v>47</v>
      </c>
      <c r="H143" s="3" t="s">
        <v>48</v>
      </c>
      <c r="I143" s="1" t="str">
        <f aca="false">$B$59</f>
        <v>OMOP Primary Dx Condition</v>
      </c>
      <c r="K143" s="1" t="s">
        <v>41</v>
      </c>
    </row>
    <row r="144" customFormat="false" ht="12.75" hidden="false" customHeight="false" outlineLevel="0" collapsed="false">
      <c r="E144" s="1" t="s">
        <v>53</v>
      </c>
      <c r="F144" s="1" t="s">
        <v>16</v>
      </c>
      <c r="G144" s="3" t="s">
        <v>17</v>
      </c>
      <c r="H144" s="3" t="s">
        <v>17</v>
      </c>
      <c r="I144" s="2" t="n">
        <v>1147127</v>
      </c>
      <c r="J144" s="1" t="s">
        <v>56</v>
      </c>
      <c r="L144" s="1" t="s">
        <v>166</v>
      </c>
    </row>
    <row r="145" customFormat="false" ht="12.75" hidden="false" customHeight="false" outlineLevel="0" collapsed="false">
      <c r="C145" s="1" t="s">
        <v>235</v>
      </c>
      <c r="E145" s="1" t="s">
        <v>115</v>
      </c>
      <c r="F145" s="1" t="s">
        <v>89</v>
      </c>
      <c r="G145" s="1" t="s">
        <v>47</v>
      </c>
      <c r="H145" s="8" t="s">
        <v>236</v>
      </c>
      <c r="K145" s="1" t="s">
        <v>41</v>
      </c>
    </row>
    <row r="146" customFormat="false" ht="12.75" hidden="false" customHeight="false" outlineLevel="0" collapsed="false">
      <c r="C146" s="1" t="s">
        <v>237</v>
      </c>
      <c r="E146" s="1" t="s">
        <v>118</v>
      </c>
      <c r="F146" s="1" t="s">
        <v>21</v>
      </c>
      <c r="G146" s="1" t="s">
        <v>47</v>
      </c>
      <c r="H146" s="8" t="s">
        <v>236</v>
      </c>
    </row>
    <row r="147" customFormat="false" ht="25.5" hidden="false" customHeight="false" outlineLevel="0" collapsed="false">
      <c r="B147" s="4" t="s">
        <v>238</v>
      </c>
      <c r="D147" s="1" t="s">
        <v>14</v>
      </c>
      <c r="E147" s="1" t="s">
        <v>110</v>
      </c>
      <c r="F147" s="1" t="s">
        <v>84</v>
      </c>
      <c r="G147" s="1" t="s">
        <v>47</v>
      </c>
      <c r="H147" s="3" t="s">
        <v>48</v>
      </c>
      <c r="K147" s="1" t="s">
        <v>41</v>
      </c>
    </row>
    <row r="148" customFormat="false" ht="12.75" hidden="false" customHeight="false" outlineLevel="0" collapsed="false">
      <c r="B148" s="4"/>
      <c r="E148" s="1" t="s">
        <v>111</v>
      </c>
      <c r="F148" s="1" t="s">
        <v>16</v>
      </c>
      <c r="G148" s="1" t="s">
        <v>17</v>
      </c>
      <c r="H148" s="3" t="s">
        <v>17</v>
      </c>
      <c r="I148" s="2" t="s">
        <v>239</v>
      </c>
      <c r="L148" s="1" t="s">
        <v>240</v>
      </c>
    </row>
    <row r="149" customFormat="false" ht="12.75" hidden="false" customHeight="false" outlineLevel="0" collapsed="false">
      <c r="E149" s="1" t="s">
        <v>20</v>
      </c>
      <c r="F149" s="1" t="s">
        <v>21</v>
      </c>
      <c r="G149" s="3" t="s">
        <v>17</v>
      </c>
      <c r="H149" s="3" t="s">
        <v>17</v>
      </c>
      <c r="I149" s="1" t="s">
        <v>68</v>
      </c>
    </row>
    <row r="150" customFormat="false" ht="12.75" hidden="false" customHeight="false" outlineLevel="0" collapsed="false">
      <c r="E150" s="1" t="s">
        <v>189</v>
      </c>
      <c r="F150" s="1" t="s">
        <v>38</v>
      </c>
      <c r="G150" s="1" t="s">
        <v>47</v>
      </c>
      <c r="H150" s="3" t="s">
        <v>48</v>
      </c>
      <c r="I150" s="1" t="str">
        <f aca="false">$B$59</f>
        <v>OMOP Primary Dx Condition</v>
      </c>
      <c r="K150" s="1" t="s">
        <v>41</v>
      </c>
    </row>
    <row r="151" customFormat="false" ht="12.75" hidden="false" customHeight="false" outlineLevel="0" collapsed="false">
      <c r="E151" s="1" t="s">
        <v>190</v>
      </c>
      <c r="F151" s="1" t="s">
        <v>16</v>
      </c>
      <c r="G151" s="1" t="s">
        <v>17</v>
      </c>
      <c r="H151" s="3" t="s">
        <v>17</v>
      </c>
      <c r="I151" s="2" t="n">
        <v>1147127</v>
      </c>
      <c r="J151" s="1" t="s">
        <v>56</v>
      </c>
      <c r="L151" s="1" t="s">
        <v>166</v>
      </c>
    </row>
    <row r="152" customFormat="false" ht="12.75" hidden="false" customHeight="false" outlineLevel="0" collapsed="false">
      <c r="C152" s="1" t="s">
        <v>241</v>
      </c>
      <c r="E152" s="1" t="s">
        <v>115</v>
      </c>
      <c r="F152" s="1" t="s">
        <v>89</v>
      </c>
      <c r="G152" s="1" t="s">
        <v>47</v>
      </c>
      <c r="H152" s="8" t="s">
        <v>242</v>
      </c>
    </row>
    <row r="153" customFormat="false" ht="12.75" hidden="false" customHeight="false" outlineLevel="0" collapsed="false">
      <c r="C153" s="1" t="s">
        <v>243</v>
      </c>
      <c r="E153" s="1" t="s">
        <v>118</v>
      </c>
      <c r="F153" s="1" t="s">
        <v>21</v>
      </c>
      <c r="G153" s="1" t="s">
        <v>47</v>
      </c>
      <c r="H153" s="8" t="s">
        <v>242</v>
      </c>
    </row>
    <row r="154" customFormat="false" ht="12.75" hidden="false" customHeight="false" outlineLevel="0" collapsed="false">
      <c r="C154" s="1" t="s">
        <v>244</v>
      </c>
      <c r="E154" s="1" t="s">
        <v>216</v>
      </c>
      <c r="F154" s="1" t="s">
        <v>89</v>
      </c>
      <c r="G154" s="1" t="s">
        <v>47</v>
      </c>
      <c r="H154" s="8" t="s">
        <v>245</v>
      </c>
    </row>
    <row r="155" customFormat="false" ht="12.75" hidden="false" customHeight="false" outlineLevel="0" collapsed="false">
      <c r="C155" s="1" t="s">
        <v>246</v>
      </c>
      <c r="E155" s="1" t="s">
        <v>219</v>
      </c>
      <c r="F155" s="1" t="s">
        <v>21</v>
      </c>
      <c r="G155" s="1" t="s">
        <v>47</v>
      </c>
      <c r="H155" s="8" t="s">
        <v>245</v>
      </c>
    </row>
    <row r="156" customFormat="false" ht="25.5" hidden="false" customHeight="false" outlineLevel="0" collapsed="false">
      <c r="A156" s="3" t="s">
        <v>247</v>
      </c>
      <c r="B156" s="4" t="s">
        <v>248</v>
      </c>
      <c r="D156" s="1" t="s">
        <v>64</v>
      </c>
      <c r="E156" s="1" t="s">
        <v>17</v>
      </c>
      <c r="F156" s="1" t="s">
        <v>75</v>
      </c>
      <c r="G156" s="1" t="s">
        <v>49</v>
      </c>
      <c r="H156" s="4" t="s">
        <v>50</v>
      </c>
      <c r="K156" s="1" t="s">
        <v>41</v>
      </c>
    </row>
    <row r="157" customFormat="false" ht="12.75" hidden="false" customHeight="false" outlineLevel="0" collapsed="false">
      <c r="D157" s="1" t="s">
        <v>64</v>
      </c>
      <c r="E157" s="1" t="s">
        <v>17</v>
      </c>
      <c r="F157" s="1" t="s">
        <v>75</v>
      </c>
      <c r="G157" s="1" t="s">
        <v>49</v>
      </c>
      <c r="H157" s="8" t="s">
        <v>249</v>
      </c>
      <c r="K157" s="1" t="s">
        <v>125</v>
      </c>
    </row>
    <row r="158" customFormat="false" ht="12.75" hidden="false" customHeight="false" outlineLevel="0" collapsed="false">
      <c r="D158" s="1" t="s">
        <v>64</v>
      </c>
      <c r="E158" s="1" t="s">
        <v>17</v>
      </c>
      <c r="F158" s="1" t="s">
        <v>75</v>
      </c>
      <c r="G158" s="1" t="s">
        <v>49</v>
      </c>
      <c r="H158" s="8" t="s">
        <v>250</v>
      </c>
    </row>
    <row r="159" customFormat="false" ht="12.75" hidden="false" customHeight="false" outlineLevel="0" collapsed="false">
      <c r="B159" s="1"/>
      <c r="D159" s="1" t="s">
        <v>23</v>
      </c>
      <c r="E159" s="1" t="s">
        <v>152</v>
      </c>
      <c r="F159" s="1" t="s">
        <v>84</v>
      </c>
      <c r="G159" s="1" t="s">
        <v>49</v>
      </c>
      <c r="H159" s="4" t="s">
        <v>50</v>
      </c>
      <c r="K159" s="1" t="s">
        <v>41</v>
      </c>
    </row>
    <row r="160" customFormat="false" ht="12.75" hidden="false" customHeight="false" outlineLevel="0" collapsed="false">
      <c r="E160" s="1" t="s">
        <v>153</v>
      </c>
      <c r="F160" s="1" t="s">
        <v>16</v>
      </c>
      <c r="G160" s="1" t="s">
        <v>17</v>
      </c>
      <c r="H160" s="3" t="s">
        <v>17</v>
      </c>
      <c r="I160" s="4" t="s">
        <v>251</v>
      </c>
      <c r="J160" s="1" t="s">
        <v>155</v>
      </c>
      <c r="L160" s="1" t="s">
        <v>252</v>
      </c>
    </row>
    <row r="161" customFormat="false" ht="12.75" hidden="false" customHeight="false" outlineLevel="0" collapsed="false">
      <c r="E161" s="1" t="s">
        <v>157</v>
      </c>
      <c r="F161" s="1" t="s">
        <v>16</v>
      </c>
      <c r="G161" s="1" t="s">
        <v>17</v>
      </c>
      <c r="H161" s="3" t="s">
        <v>17</v>
      </c>
      <c r="I161" s="2" t="n">
        <v>0</v>
      </c>
    </row>
    <row r="162" customFormat="false" ht="12.75" hidden="false" customHeight="false" outlineLevel="0" collapsed="false">
      <c r="E162" s="1" t="s">
        <v>158</v>
      </c>
      <c r="F162" s="1" t="s">
        <v>16</v>
      </c>
      <c r="G162" s="1" t="s">
        <v>17</v>
      </c>
      <c r="H162" s="3" t="s">
        <v>17</v>
      </c>
      <c r="I162" s="2" t="n">
        <v>0</v>
      </c>
    </row>
    <row r="163" customFormat="false" ht="12.75" hidden="false" customHeight="false" outlineLevel="0" collapsed="false">
      <c r="C163" s="1" t="s">
        <v>253</v>
      </c>
      <c r="E163" s="1" t="s">
        <v>160</v>
      </c>
      <c r="F163" s="1" t="s">
        <v>123</v>
      </c>
      <c r="G163" s="1" t="s">
        <v>49</v>
      </c>
      <c r="H163" s="8" t="s">
        <v>249</v>
      </c>
      <c r="K163" s="1" t="s">
        <v>125</v>
      </c>
    </row>
    <row r="164" customFormat="false" ht="12.75" hidden="false" customHeight="false" outlineLevel="0" collapsed="false">
      <c r="C164" s="1" t="s">
        <v>254</v>
      </c>
      <c r="E164" s="1" t="s">
        <v>161</v>
      </c>
      <c r="F164" s="1" t="s">
        <v>123</v>
      </c>
      <c r="G164" s="1" t="s">
        <v>49</v>
      </c>
      <c r="H164" s="8" t="s">
        <v>255</v>
      </c>
    </row>
    <row r="165" customFormat="false" ht="12.75" hidden="false" customHeight="false" outlineLevel="0" collapsed="false">
      <c r="C165" s="1" t="s">
        <v>256</v>
      </c>
      <c r="E165" s="1" t="s">
        <v>159</v>
      </c>
      <c r="F165" s="1" t="s">
        <v>89</v>
      </c>
      <c r="G165" s="1" t="s">
        <v>49</v>
      </c>
      <c r="H165" s="8" t="s">
        <v>257</v>
      </c>
    </row>
    <row r="166" customFormat="false" ht="25.5" hidden="false" customHeight="false" outlineLevel="0" collapsed="false">
      <c r="B166" s="4" t="s">
        <v>258</v>
      </c>
      <c r="D166" s="1" t="s">
        <v>163</v>
      </c>
      <c r="E166" s="1" t="s">
        <v>152</v>
      </c>
      <c r="F166" s="1" t="s">
        <v>38</v>
      </c>
      <c r="G166" s="1" t="s">
        <v>47</v>
      </c>
      <c r="H166" s="3" t="s">
        <v>48</v>
      </c>
      <c r="I166" s="2" t="str">
        <f aca="false">$B$156</f>
        <v>OMOP Treatment Episode</v>
      </c>
      <c r="K166" s="1" t="s">
        <v>41</v>
      </c>
    </row>
    <row r="167" customFormat="false" ht="12.75" hidden="false" customHeight="false" outlineLevel="0" collapsed="false">
      <c r="E167" s="1" t="s">
        <v>164</v>
      </c>
      <c r="F167" s="1" t="s">
        <v>38</v>
      </c>
      <c r="G167" s="1" t="s">
        <v>47</v>
      </c>
      <c r="H167" s="3" t="s">
        <v>48</v>
      </c>
      <c r="I167" s="1" t="str">
        <f aca="false">$B$59</f>
        <v>OMOP Primary Dx Condition</v>
      </c>
      <c r="K167" s="1" t="s">
        <v>41</v>
      </c>
    </row>
    <row r="168" customFormat="false" ht="12.75" hidden="false" customHeight="false" outlineLevel="0" collapsed="false">
      <c r="E168" s="1" t="s">
        <v>165</v>
      </c>
      <c r="F168" s="1" t="s">
        <v>16</v>
      </c>
      <c r="G168" s="3" t="s">
        <v>17</v>
      </c>
      <c r="H168" s="3" t="s">
        <v>17</v>
      </c>
      <c r="I168" s="2" t="n">
        <v>1147127</v>
      </c>
      <c r="J168" s="1" t="s">
        <v>56</v>
      </c>
      <c r="L168" s="1" t="s">
        <v>166</v>
      </c>
    </row>
    <row r="169" customFormat="false" ht="25.5" hidden="false" customHeight="false" outlineLevel="0" collapsed="false">
      <c r="B169" s="4" t="s">
        <v>259</v>
      </c>
      <c r="D169" s="1" t="s">
        <v>14</v>
      </c>
      <c r="E169" s="1" t="s">
        <v>110</v>
      </c>
      <c r="F169" s="1" t="s">
        <v>84</v>
      </c>
      <c r="G169" s="1" t="s">
        <v>49</v>
      </c>
      <c r="H169" s="4" t="s">
        <v>50</v>
      </c>
      <c r="K169" s="1" t="s">
        <v>41</v>
      </c>
    </row>
    <row r="170" customFormat="false" ht="12.75" hidden="false" customHeight="false" outlineLevel="0" collapsed="false">
      <c r="E170" s="1" t="s">
        <v>111</v>
      </c>
      <c r="F170" s="1" t="s">
        <v>16</v>
      </c>
      <c r="G170" s="1" t="s">
        <v>17</v>
      </c>
      <c r="H170" s="3" t="s">
        <v>17</v>
      </c>
      <c r="I170" s="4" t="s">
        <v>260</v>
      </c>
      <c r="J170" s="1" t="s">
        <v>112</v>
      </c>
      <c r="L170" s="1" t="s">
        <v>261</v>
      </c>
    </row>
    <row r="171" customFormat="false" ht="12.75" hidden="false" customHeight="false" outlineLevel="0" collapsed="false">
      <c r="E171" s="1" t="s">
        <v>20</v>
      </c>
      <c r="F171" s="1" t="s">
        <v>123</v>
      </c>
      <c r="G171" s="1" t="s">
        <v>49</v>
      </c>
      <c r="H171" s="10" t="s">
        <v>249</v>
      </c>
      <c r="K171" s="1" t="s">
        <v>125</v>
      </c>
    </row>
    <row r="172" customFormat="false" ht="12.75" hidden="false" customHeight="false" outlineLevel="0" collapsed="false">
      <c r="E172" s="1" t="s">
        <v>189</v>
      </c>
      <c r="F172" s="1" t="s">
        <v>38</v>
      </c>
      <c r="G172" s="1" t="s">
        <v>49</v>
      </c>
      <c r="H172" s="4" t="s">
        <v>50</v>
      </c>
      <c r="I172" s="1" t="str">
        <f aca="false">$B$156</f>
        <v>OMOP Treatment Episode</v>
      </c>
      <c r="K172" s="1" t="s">
        <v>41</v>
      </c>
    </row>
    <row r="173" customFormat="false" ht="12.75" hidden="false" customHeight="false" outlineLevel="0" collapsed="false">
      <c r="E173" s="1" t="s">
        <v>190</v>
      </c>
      <c r="F173" s="1" t="s">
        <v>16</v>
      </c>
      <c r="G173" s="1" t="s">
        <v>17</v>
      </c>
      <c r="H173" s="3" t="s">
        <v>17</v>
      </c>
      <c r="I173" s="4" t="s">
        <v>58</v>
      </c>
      <c r="J173" s="1" t="s">
        <v>56</v>
      </c>
      <c r="L173" s="1" t="s">
        <v>59</v>
      </c>
    </row>
    <row r="174" customFormat="false" ht="12.75" hidden="false" customHeight="false" outlineLevel="0" collapsed="false">
      <c r="C174" s="1" t="s">
        <v>262</v>
      </c>
      <c r="E174" s="1" t="s">
        <v>115</v>
      </c>
      <c r="F174" s="1" t="s">
        <v>89</v>
      </c>
      <c r="G174" s="1" t="s">
        <v>49</v>
      </c>
      <c r="H174" s="8" t="s">
        <v>263</v>
      </c>
      <c r="K174" s="1" t="s">
        <v>41</v>
      </c>
    </row>
    <row r="175" customFormat="false" ht="12.75" hidden="false" customHeight="false" outlineLevel="0" collapsed="false">
      <c r="C175" s="1" t="s">
        <v>264</v>
      </c>
      <c r="E175" s="1" t="s">
        <v>118</v>
      </c>
      <c r="F175" s="1" t="s">
        <v>21</v>
      </c>
      <c r="G175" s="1" t="s">
        <v>49</v>
      </c>
      <c r="H175" s="8" t="s">
        <v>263</v>
      </c>
    </row>
    <row r="176" customFormat="false" ht="25.5" hidden="false" customHeight="false" outlineLevel="0" collapsed="false">
      <c r="B176" s="4" t="s">
        <v>265</v>
      </c>
      <c r="D176" s="1" t="s">
        <v>14</v>
      </c>
      <c r="E176" s="1" t="s">
        <v>110</v>
      </c>
      <c r="F176" s="1" t="s">
        <v>84</v>
      </c>
      <c r="G176" s="1" t="s">
        <v>49</v>
      </c>
      <c r="H176" s="4" t="s">
        <v>50</v>
      </c>
      <c r="K176" s="1" t="s">
        <v>41</v>
      </c>
    </row>
    <row r="177" customFormat="false" ht="12.75" hidden="false" customHeight="false" outlineLevel="0" collapsed="false">
      <c r="E177" s="1" t="s">
        <v>111</v>
      </c>
      <c r="F177" s="1" t="s">
        <v>16</v>
      </c>
      <c r="G177" s="1" t="s">
        <v>17</v>
      </c>
      <c r="H177" s="3" t="s">
        <v>17</v>
      </c>
      <c r="I177" s="4" t="s">
        <v>266</v>
      </c>
      <c r="J177" s="1" t="s">
        <v>112</v>
      </c>
      <c r="L177" s="1" t="s">
        <v>267</v>
      </c>
    </row>
    <row r="178" customFormat="false" ht="12.75" hidden="false" customHeight="false" outlineLevel="0" collapsed="false">
      <c r="C178" s="1" t="s">
        <v>268</v>
      </c>
      <c r="E178" s="1" t="s">
        <v>115</v>
      </c>
      <c r="F178" s="1" t="s">
        <v>89</v>
      </c>
      <c r="G178" s="1" t="s">
        <v>49</v>
      </c>
      <c r="H178" s="8" t="s">
        <v>269</v>
      </c>
      <c r="K178" s="1" t="s">
        <v>92</v>
      </c>
    </row>
    <row r="179" customFormat="false" ht="12.75" hidden="false" customHeight="false" outlineLevel="0" collapsed="false">
      <c r="C179" s="1" t="s">
        <v>270</v>
      </c>
      <c r="E179" s="1" t="s">
        <v>118</v>
      </c>
      <c r="F179" s="1" t="s">
        <v>21</v>
      </c>
      <c r="G179" s="1" t="s">
        <v>49</v>
      </c>
      <c r="H179" s="8" t="s">
        <v>269</v>
      </c>
    </row>
    <row r="180" customFormat="false" ht="12.75" hidden="false" customHeight="false" outlineLevel="0" collapsed="false">
      <c r="E180" s="1" t="s">
        <v>20</v>
      </c>
      <c r="F180" s="1" t="s">
        <v>123</v>
      </c>
      <c r="G180" s="1" t="s">
        <v>49</v>
      </c>
      <c r="H180" s="10" t="s">
        <v>249</v>
      </c>
      <c r="K180" s="1" t="s">
        <v>125</v>
      </c>
    </row>
    <row r="181" customFormat="false" ht="12.75" hidden="false" customHeight="false" outlineLevel="0" collapsed="false">
      <c r="E181" s="1" t="s">
        <v>189</v>
      </c>
      <c r="F181" s="1" t="s">
        <v>38</v>
      </c>
      <c r="G181" s="1" t="s">
        <v>49</v>
      </c>
      <c r="H181" s="4" t="s">
        <v>50</v>
      </c>
      <c r="I181" s="1" t="str">
        <f aca="false">$B$156</f>
        <v>OMOP Treatment Episode</v>
      </c>
      <c r="K181" s="1" t="s">
        <v>41</v>
      </c>
    </row>
    <row r="182" customFormat="false" ht="12.75" hidden="false" customHeight="false" outlineLevel="0" collapsed="false">
      <c r="E182" s="1" t="s">
        <v>190</v>
      </c>
      <c r="F182" s="1" t="s">
        <v>16</v>
      </c>
      <c r="G182" s="1" t="s">
        <v>17</v>
      </c>
      <c r="H182" s="3" t="s">
        <v>17</v>
      </c>
      <c r="I182" s="4" t="s">
        <v>58</v>
      </c>
      <c r="J182" s="1" t="s">
        <v>56</v>
      </c>
      <c r="L182" s="1" t="s">
        <v>59</v>
      </c>
    </row>
    <row r="183" customFormat="false" ht="12.75" hidden="false" customHeight="false" outlineLevel="0" collapsed="false">
      <c r="C183" s="1" t="s">
        <v>271</v>
      </c>
      <c r="E183" s="1" t="s">
        <v>216</v>
      </c>
      <c r="F183" s="1" t="s">
        <v>89</v>
      </c>
      <c r="G183" s="1" t="s">
        <v>49</v>
      </c>
      <c r="H183" s="8" t="s">
        <v>272</v>
      </c>
    </row>
    <row r="184" customFormat="false" ht="12.75" hidden="false" customHeight="false" outlineLevel="0" collapsed="false">
      <c r="C184" s="1" t="s">
        <v>273</v>
      </c>
      <c r="E184" s="1" t="s">
        <v>219</v>
      </c>
      <c r="F184" s="1" t="s">
        <v>21</v>
      </c>
      <c r="G184" s="1" t="s">
        <v>49</v>
      </c>
      <c r="H184" s="8" t="s">
        <v>272</v>
      </c>
    </row>
    <row r="185" customFormat="false" ht="25.5" hidden="false" customHeight="false" outlineLevel="0" collapsed="false">
      <c r="A185" s="3" t="s">
        <v>274</v>
      </c>
      <c r="B185" s="4" t="s">
        <v>275</v>
      </c>
      <c r="D185" s="1" t="s">
        <v>32</v>
      </c>
      <c r="E185" s="1" t="s">
        <v>276</v>
      </c>
      <c r="F185" s="1" t="s">
        <v>277</v>
      </c>
      <c r="G185" s="1" t="s">
        <v>49</v>
      </c>
      <c r="H185" s="4" t="s">
        <v>50</v>
      </c>
      <c r="K185" s="1" t="s">
        <v>41</v>
      </c>
    </row>
    <row r="186" customFormat="false" ht="12.75" hidden="false" customHeight="false" outlineLevel="0" collapsed="false">
      <c r="E186" s="1" t="s">
        <v>278</v>
      </c>
      <c r="F186" s="1" t="s">
        <v>279</v>
      </c>
      <c r="G186" s="1" t="s">
        <v>49</v>
      </c>
      <c r="H186" s="8" t="s">
        <v>280</v>
      </c>
    </row>
    <row r="187" customFormat="false" ht="12.75" hidden="false" customHeight="false" outlineLevel="0" collapsed="false">
      <c r="C187" s="1" t="s">
        <v>281</v>
      </c>
      <c r="E187" s="1" t="s">
        <v>282</v>
      </c>
      <c r="F187" s="1" t="s">
        <v>283</v>
      </c>
      <c r="G187" s="1" t="s">
        <v>17</v>
      </c>
      <c r="H187" s="8" t="s">
        <v>17</v>
      </c>
    </row>
    <row r="188" customFormat="false" ht="12.75" hidden="false" customHeight="false" outlineLevel="0" collapsed="false">
      <c r="E188" s="1" t="s">
        <v>284</v>
      </c>
      <c r="F188" s="1" t="s">
        <v>123</v>
      </c>
      <c r="G188" s="1" t="s">
        <v>17</v>
      </c>
      <c r="H188" s="10" t="s">
        <v>17</v>
      </c>
      <c r="I188" s="4" t="s">
        <v>285</v>
      </c>
      <c r="K188" s="1" t="s">
        <v>125</v>
      </c>
    </row>
    <row r="189" customFormat="false" ht="12.75" hidden="false" customHeight="false" outlineLevel="0" collapsed="false">
      <c r="C189" s="1" t="s">
        <v>286</v>
      </c>
      <c r="E189" s="1" t="s">
        <v>287</v>
      </c>
      <c r="F189" s="1" t="s">
        <v>89</v>
      </c>
      <c r="G189" s="1" t="s">
        <v>49</v>
      </c>
      <c r="H189" s="10" t="s">
        <v>250</v>
      </c>
      <c r="I189" s="4" t="s">
        <v>288</v>
      </c>
    </row>
    <row r="190" customFormat="false" ht="12.75" hidden="false" customHeight="false" outlineLevel="0" collapsed="false">
      <c r="C190" s="1" t="s">
        <v>289</v>
      </c>
      <c r="E190" s="1" t="s">
        <v>290</v>
      </c>
      <c r="F190" s="1" t="s">
        <v>21</v>
      </c>
      <c r="G190" s="1" t="s">
        <v>17</v>
      </c>
      <c r="H190" s="10" t="s">
        <v>17</v>
      </c>
      <c r="I190" s="4" t="s">
        <v>288</v>
      </c>
    </row>
    <row r="191" customFormat="false" ht="25.5" hidden="false" customHeight="false" outlineLevel="0" collapsed="false">
      <c r="B191" s="4" t="s">
        <v>291</v>
      </c>
      <c r="D191" s="1" t="s">
        <v>163</v>
      </c>
      <c r="E191" s="1" t="s">
        <v>152</v>
      </c>
      <c r="F191" s="1" t="s">
        <v>38</v>
      </c>
      <c r="G191" s="1" t="s">
        <v>49</v>
      </c>
      <c r="H191" s="4" t="s">
        <v>50</v>
      </c>
      <c r="I191" s="1" t="str">
        <f aca="false">$B$156</f>
        <v>OMOP Treatment Episode</v>
      </c>
      <c r="K191" s="1" t="s">
        <v>41</v>
      </c>
    </row>
    <row r="192" customFormat="false" ht="12.75" hidden="false" customHeight="false" outlineLevel="0" collapsed="false">
      <c r="E192" s="1" t="s">
        <v>164</v>
      </c>
      <c r="F192" s="1" t="s">
        <v>292</v>
      </c>
      <c r="G192" s="1" t="s">
        <v>49</v>
      </c>
      <c r="H192" s="4" t="s">
        <v>50</v>
      </c>
      <c r="I192" s="1" t="str">
        <f aca="false">$B$185</f>
        <v>OMOP Treatment Episode Procedure Occurrence</v>
      </c>
      <c r="K192" s="1" t="s">
        <v>41</v>
      </c>
    </row>
    <row r="193" customFormat="false" ht="12.75" hidden="false" customHeight="false" outlineLevel="0" collapsed="false">
      <c r="E193" s="1" t="s">
        <v>165</v>
      </c>
      <c r="F193" s="1" t="s">
        <v>16</v>
      </c>
      <c r="G193" s="1" t="s">
        <v>17</v>
      </c>
      <c r="H193" s="3" t="s">
        <v>17</v>
      </c>
      <c r="I193" s="4" t="s">
        <v>293</v>
      </c>
      <c r="J193" s="1" t="s">
        <v>56</v>
      </c>
      <c r="L193" s="1" t="s">
        <v>294</v>
      </c>
    </row>
    <row r="194" s="1" customFormat="true" ht="25.5" hidden="false" customHeight="false" outlineLevel="0" collapsed="false">
      <c r="A194" s="3" t="s">
        <v>295</v>
      </c>
      <c r="B194" s="4" t="s">
        <v>296</v>
      </c>
      <c r="D194" s="1" t="s">
        <v>23</v>
      </c>
      <c r="E194" s="1" t="s">
        <v>152</v>
      </c>
      <c r="F194" s="1" t="s">
        <v>277</v>
      </c>
      <c r="G194" s="1" t="s">
        <v>49</v>
      </c>
      <c r="H194" s="4" t="s">
        <v>50</v>
      </c>
      <c r="K194" s="1" t="s">
        <v>41</v>
      </c>
    </row>
    <row r="195" customFormat="false" ht="12.75" hidden="false" customHeight="false" outlineLevel="0" collapsed="false">
      <c r="E195" s="1" t="s">
        <v>153</v>
      </c>
      <c r="F195" s="1" t="s">
        <v>16</v>
      </c>
      <c r="G195" s="1" t="s">
        <v>17</v>
      </c>
      <c r="H195" s="3" t="s">
        <v>17</v>
      </c>
      <c r="I195" s="4" t="s">
        <v>297</v>
      </c>
      <c r="J195" s="1" t="s">
        <v>155</v>
      </c>
      <c r="L195" s="1" t="s">
        <v>298</v>
      </c>
    </row>
    <row r="196" customFormat="false" ht="12.75" hidden="false" customHeight="false" outlineLevel="0" collapsed="false">
      <c r="E196" s="1" t="s">
        <v>157</v>
      </c>
      <c r="F196" s="1" t="s">
        <v>16</v>
      </c>
      <c r="G196" s="1" t="s">
        <v>17</v>
      </c>
      <c r="H196" s="3" t="s">
        <v>17</v>
      </c>
      <c r="I196" s="2" t="n">
        <v>0</v>
      </c>
    </row>
    <row r="197" customFormat="false" ht="12.75" hidden="false" customHeight="false" outlineLevel="0" collapsed="false">
      <c r="E197" s="1" t="s">
        <v>158</v>
      </c>
      <c r="F197" s="1" t="s">
        <v>89</v>
      </c>
      <c r="G197" s="1" t="s">
        <v>299</v>
      </c>
      <c r="H197" s="8" t="s">
        <v>300</v>
      </c>
      <c r="I197" s="1"/>
      <c r="K197" s="1" t="s">
        <v>92</v>
      </c>
    </row>
    <row r="198" customFormat="false" ht="12.75" hidden="false" customHeight="false" outlineLevel="0" collapsed="false">
      <c r="E198" s="1" t="s">
        <v>160</v>
      </c>
      <c r="F198" s="1" t="s">
        <v>123</v>
      </c>
      <c r="G198" s="1" t="s">
        <v>299</v>
      </c>
      <c r="H198" s="8" t="s">
        <v>301</v>
      </c>
      <c r="K198" s="1" t="s">
        <v>125</v>
      </c>
    </row>
    <row r="199" customFormat="false" ht="12.75" hidden="false" customHeight="false" outlineLevel="0" collapsed="false">
      <c r="E199" s="1" t="s">
        <v>161</v>
      </c>
      <c r="F199" s="1" t="s">
        <v>123</v>
      </c>
      <c r="G199" s="1" t="s">
        <v>299</v>
      </c>
      <c r="H199" s="8" t="s">
        <v>302</v>
      </c>
    </row>
    <row r="200" customFormat="false" ht="36.9" hidden="false" customHeight="false" outlineLevel="0" collapsed="false">
      <c r="B200" s="4" t="s">
        <v>303</v>
      </c>
      <c r="D200" s="1" t="s">
        <v>163</v>
      </c>
      <c r="E200" s="1" t="s">
        <v>152</v>
      </c>
      <c r="F200" s="1" t="s">
        <v>38</v>
      </c>
      <c r="G200" s="1" t="s">
        <v>49</v>
      </c>
      <c r="H200" s="4" t="s">
        <v>50</v>
      </c>
      <c r="I200" s="1" t="str">
        <f aca="false">$B$156</f>
        <v>OMOP Treatment Episode</v>
      </c>
      <c r="K200" s="1" t="s">
        <v>41</v>
      </c>
    </row>
    <row r="201" customFormat="false" ht="12.75" hidden="false" customHeight="false" outlineLevel="0" collapsed="false">
      <c r="E201" s="1" t="s">
        <v>164</v>
      </c>
      <c r="F201" s="1" t="s">
        <v>292</v>
      </c>
      <c r="G201" s="1" t="s">
        <v>49</v>
      </c>
      <c r="H201" s="4" t="s">
        <v>50</v>
      </c>
      <c r="I201" s="2" t="str">
        <f aca="false">$B$194</f>
        <v>OMOP Systemic Therapy Episode</v>
      </c>
      <c r="K201" s="1" t="s">
        <v>41</v>
      </c>
    </row>
    <row r="202" customFormat="false" ht="12.75" hidden="false" customHeight="false" outlineLevel="0" collapsed="false">
      <c r="E202" s="1" t="s">
        <v>165</v>
      </c>
      <c r="F202" s="1" t="s">
        <v>16</v>
      </c>
      <c r="G202" s="1" t="s">
        <v>17</v>
      </c>
      <c r="H202" s="3" t="s">
        <v>17</v>
      </c>
      <c r="I202" s="4" t="s">
        <v>58</v>
      </c>
      <c r="J202" s="1" t="s">
        <v>56</v>
      </c>
      <c r="L202" s="1" t="s">
        <v>59</v>
      </c>
    </row>
    <row r="203" s="1" customFormat="true" ht="25.5" hidden="false" customHeight="false" outlineLevel="0" collapsed="false">
      <c r="B203" s="4" t="s">
        <v>304</v>
      </c>
      <c r="D203" s="1" t="s">
        <v>32</v>
      </c>
      <c r="E203" s="1" t="s">
        <v>276</v>
      </c>
      <c r="F203" s="1" t="s">
        <v>277</v>
      </c>
      <c r="G203" s="1" t="s">
        <v>49</v>
      </c>
      <c r="H203" s="3" t="s">
        <v>50</v>
      </c>
      <c r="K203" s="1" t="s">
        <v>41</v>
      </c>
    </row>
    <row r="204" customFormat="false" ht="12.75" hidden="false" customHeight="false" outlineLevel="0" collapsed="false">
      <c r="C204" s="1" t="s">
        <v>305</v>
      </c>
      <c r="E204" s="1" t="s">
        <v>278</v>
      </c>
      <c r="F204" s="1" t="s">
        <v>89</v>
      </c>
      <c r="G204" s="1" t="s">
        <v>299</v>
      </c>
      <c r="H204" s="8" t="s">
        <v>300</v>
      </c>
      <c r="K204" s="1" t="s">
        <v>92</v>
      </c>
    </row>
    <row r="205" customFormat="false" ht="12.75" hidden="false" customHeight="false" outlineLevel="0" collapsed="false">
      <c r="C205" s="1" t="s">
        <v>306</v>
      </c>
      <c r="E205" s="1" t="s">
        <v>282</v>
      </c>
      <c r="F205" s="1" t="s">
        <v>21</v>
      </c>
      <c r="G205" s="1" t="s">
        <v>299</v>
      </c>
      <c r="H205" s="8" t="s">
        <v>300</v>
      </c>
    </row>
    <row r="206" customFormat="false" ht="12.75" hidden="false" customHeight="false" outlineLevel="0" collapsed="false">
      <c r="E206" s="1" t="s">
        <v>284</v>
      </c>
      <c r="F206" s="1" t="s">
        <v>123</v>
      </c>
      <c r="G206" s="1" t="s">
        <v>299</v>
      </c>
      <c r="H206" s="10" t="s">
        <v>301</v>
      </c>
      <c r="K206" s="1" t="s">
        <v>125</v>
      </c>
    </row>
    <row r="207" customFormat="false" ht="12.75" hidden="false" customHeight="false" outlineLevel="0" collapsed="false">
      <c r="C207" s="1" t="s">
        <v>307</v>
      </c>
      <c r="E207" s="1" t="s">
        <v>308</v>
      </c>
      <c r="F207" s="1" t="s">
        <v>21</v>
      </c>
      <c r="G207" s="1" t="s">
        <v>299</v>
      </c>
      <c r="H207" s="8" t="s">
        <v>309</v>
      </c>
    </row>
    <row r="208" customFormat="false" ht="25.5" hidden="false" customHeight="false" outlineLevel="0" collapsed="false">
      <c r="B208" s="4" t="s">
        <v>310</v>
      </c>
      <c r="D208" s="1" t="s">
        <v>163</v>
      </c>
      <c r="E208" s="1" t="s">
        <v>152</v>
      </c>
      <c r="F208" s="1" t="s">
        <v>292</v>
      </c>
      <c r="G208" s="1" t="s">
        <v>49</v>
      </c>
      <c r="H208" s="4" t="s">
        <v>50</v>
      </c>
      <c r="I208" s="1" t="str">
        <f aca="false">$B$194</f>
        <v>OMOP Systemic Therapy Episode</v>
      </c>
      <c r="K208" s="1" t="s">
        <v>41</v>
      </c>
    </row>
    <row r="209" customFormat="false" ht="12.75" hidden="false" customHeight="false" outlineLevel="0" collapsed="false">
      <c r="E209" s="1" t="s">
        <v>164</v>
      </c>
      <c r="F209" s="1" t="s">
        <v>292</v>
      </c>
      <c r="G209" s="1" t="s">
        <v>49</v>
      </c>
      <c r="H209" s="4" t="s">
        <v>50</v>
      </c>
      <c r="I209" s="1" t="str">
        <f aca="false">$B$203</f>
        <v>OMOP Systemic Therapy Procedure</v>
      </c>
      <c r="K209" s="1" t="s">
        <v>41</v>
      </c>
    </row>
    <row r="210" customFormat="false" ht="12.75" hidden="false" customHeight="false" outlineLevel="0" collapsed="false">
      <c r="E210" s="1" t="s">
        <v>165</v>
      </c>
      <c r="F210" s="1" t="s">
        <v>16</v>
      </c>
      <c r="G210" s="1" t="s">
        <v>17</v>
      </c>
      <c r="H210" s="3" t="s">
        <v>17</v>
      </c>
      <c r="I210" s="4" t="s">
        <v>293</v>
      </c>
      <c r="J210" s="1" t="s">
        <v>56</v>
      </c>
      <c r="L210" s="1" t="s">
        <v>294</v>
      </c>
    </row>
    <row r="211" customFormat="false" ht="25.5" hidden="false" customHeight="false" outlineLevel="0" collapsed="false">
      <c r="B211" s="4" t="s">
        <v>311</v>
      </c>
      <c r="D211" s="1" t="s">
        <v>64</v>
      </c>
      <c r="E211" s="1" t="s">
        <v>312</v>
      </c>
      <c r="F211" s="1" t="s">
        <v>21</v>
      </c>
      <c r="G211" s="1" t="s">
        <v>299</v>
      </c>
      <c r="H211" s="8" t="s">
        <v>313</v>
      </c>
      <c r="I211" s="5"/>
      <c r="K211" s="1" t="s">
        <v>314</v>
      </c>
    </row>
    <row r="212" customFormat="false" ht="12.75" hidden="false" customHeight="false" outlineLevel="0" collapsed="false">
      <c r="B212" s="1"/>
      <c r="D212" s="1" t="s">
        <v>42</v>
      </c>
      <c r="E212" s="1" t="s">
        <v>315</v>
      </c>
      <c r="F212" s="1" t="s">
        <v>277</v>
      </c>
      <c r="G212" s="1" t="s">
        <v>49</v>
      </c>
      <c r="H212" s="4" t="s">
        <v>50</v>
      </c>
      <c r="K212" s="1" t="s">
        <v>41</v>
      </c>
    </row>
    <row r="213" customFormat="false" ht="12.75" hidden="false" customHeight="false" outlineLevel="0" collapsed="false">
      <c r="E213" s="1" t="s">
        <v>316</v>
      </c>
      <c r="F213" s="1" t="s">
        <v>16</v>
      </c>
      <c r="G213" s="1" t="s">
        <v>17</v>
      </c>
      <c r="H213" s="3" t="s">
        <v>17</v>
      </c>
      <c r="I213" s="11" t="s">
        <v>317</v>
      </c>
      <c r="J213" s="1" t="s">
        <v>18</v>
      </c>
      <c r="L213" s="1" t="s">
        <v>318</v>
      </c>
    </row>
    <row r="214" customFormat="false" ht="12.75" hidden="false" customHeight="false" outlineLevel="0" collapsed="false">
      <c r="E214" s="1" t="s">
        <v>319</v>
      </c>
      <c r="F214" s="1" t="s">
        <v>141</v>
      </c>
      <c r="G214" s="1" t="s">
        <v>299</v>
      </c>
      <c r="H214" s="8" t="s">
        <v>320</v>
      </c>
      <c r="J214" s="1" t="s">
        <v>312</v>
      </c>
      <c r="K214" s="1" t="s">
        <v>92</v>
      </c>
    </row>
    <row r="215" customFormat="false" ht="36.9" hidden="false" customHeight="false" outlineLevel="0" collapsed="false">
      <c r="C215" s="3" t="s">
        <v>321</v>
      </c>
      <c r="E215" s="1" t="s">
        <v>322</v>
      </c>
      <c r="F215" s="1" t="s">
        <v>323</v>
      </c>
      <c r="G215" s="1" t="s">
        <v>299</v>
      </c>
      <c r="H215" s="8" t="s">
        <v>324</v>
      </c>
    </row>
    <row r="216" customFormat="false" ht="12.75" hidden="false" customHeight="false" outlineLevel="0" collapsed="false">
      <c r="C216" s="1" t="s">
        <v>325</v>
      </c>
      <c r="E216" s="1" t="s">
        <v>326</v>
      </c>
      <c r="F216" s="1" t="s">
        <v>123</v>
      </c>
      <c r="G216" s="1" t="s">
        <v>299</v>
      </c>
      <c r="H216" s="8" t="s">
        <v>301</v>
      </c>
      <c r="K216" s="1" t="s">
        <v>125</v>
      </c>
    </row>
    <row r="217" customFormat="false" ht="12.75" hidden="false" customHeight="false" outlineLevel="0" collapsed="false">
      <c r="C217" s="1" t="s">
        <v>327</v>
      </c>
      <c r="E217" s="1" t="s">
        <v>328</v>
      </c>
      <c r="F217" s="1" t="s">
        <v>123</v>
      </c>
      <c r="G217" s="1" t="s">
        <v>299</v>
      </c>
      <c r="H217" s="8" t="s">
        <v>302</v>
      </c>
      <c r="K217" s="1" t="s">
        <v>125</v>
      </c>
    </row>
    <row r="218" customFormat="false" ht="12.75" hidden="false" customHeight="false" outlineLevel="0" collapsed="false">
      <c r="C218" s="1" t="s">
        <v>329</v>
      </c>
      <c r="E218" s="1" t="s">
        <v>330</v>
      </c>
      <c r="F218" s="1" t="s">
        <v>21</v>
      </c>
      <c r="G218" s="1" t="s">
        <v>299</v>
      </c>
      <c r="H218" s="8" t="s">
        <v>331</v>
      </c>
    </row>
    <row r="219" customFormat="false" ht="12.75" hidden="false" customHeight="false" outlineLevel="0" collapsed="false">
      <c r="C219" s="1" t="s">
        <v>332</v>
      </c>
      <c r="E219" s="1" t="s">
        <v>308</v>
      </c>
      <c r="F219" s="1" t="s">
        <v>21</v>
      </c>
      <c r="G219" s="1" t="s">
        <v>299</v>
      </c>
      <c r="H219" s="8" t="s">
        <v>333</v>
      </c>
    </row>
    <row r="220" customFormat="false" ht="36.9" hidden="false" customHeight="false" outlineLevel="0" collapsed="false">
      <c r="B220" s="4" t="s">
        <v>334</v>
      </c>
      <c r="D220" s="1" t="s">
        <v>163</v>
      </c>
      <c r="E220" s="1" t="s">
        <v>152</v>
      </c>
      <c r="F220" s="1" t="s">
        <v>292</v>
      </c>
      <c r="G220" s="1" t="s">
        <v>49</v>
      </c>
      <c r="H220" s="4" t="s">
        <v>50</v>
      </c>
      <c r="I220" s="1" t="str">
        <f aca="false">$B$194</f>
        <v>OMOP Systemic Therapy Episode</v>
      </c>
      <c r="K220" s="1" t="s">
        <v>41</v>
      </c>
    </row>
    <row r="221" customFormat="false" ht="12.75" hidden="false" customHeight="false" outlineLevel="0" collapsed="false">
      <c r="E221" s="1" t="s">
        <v>164</v>
      </c>
      <c r="F221" s="1" t="s">
        <v>292</v>
      </c>
      <c r="G221" s="1" t="s">
        <v>49</v>
      </c>
      <c r="H221" s="4" t="s">
        <v>50</v>
      </c>
      <c r="I221" s="1" t="str">
        <f aca="false">$B$211</f>
        <v>OMOP Systemic Therapy Dose Given Drug Exposure</v>
      </c>
      <c r="K221" s="1" t="s">
        <v>41</v>
      </c>
    </row>
    <row r="222" customFormat="false" ht="12.75" hidden="false" customHeight="false" outlineLevel="0" collapsed="false">
      <c r="E222" s="1" t="s">
        <v>165</v>
      </c>
      <c r="F222" s="1" t="s">
        <v>16</v>
      </c>
      <c r="G222" s="1" t="s">
        <v>17</v>
      </c>
      <c r="H222" s="3" t="s">
        <v>17</v>
      </c>
      <c r="I222" s="4" t="s">
        <v>335</v>
      </c>
      <c r="J222" s="1" t="s">
        <v>56</v>
      </c>
      <c r="L222" s="1" t="s">
        <v>336</v>
      </c>
    </row>
    <row r="223" customFormat="false" ht="25.5" hidden="false" customHeight="false" outlineLevel="0" collapsed="false">
      <c r="B223" s="4" t="s">
        <v>337</v>
      </c>
      <c r="D223" s="1" t="s">
        <v>42</v>
      </c>
      <c r="E223" s="1" t="s">
        <v>315</v>
      </c>
      <c r="F223" s="1" t="s">
        <v>277</v>
      </c>
      <c r="G223" s="1" t="s">
        <v>49</v>
      </c>
      <c r="H223" s="4" t="s">
        <v>50</v>
      </c>
      <c r="K223" s="1" t="s">
        <v>41</v>
      </c>
    </row>
    <row r="224" customFormat="false" ht="12.75" hidden="false" customHeight="false" outlineLevel="0" collapsed="false">
      <c r="E224" s="1" t="s">
        <v>316</v>
      </c>
      <c r="F224" s="1" t="s">
        <v>16</v>
      </c>
      <c r="G224" s="1" t="s">
        <v>17</v>
      </c>
      <c r="H224" s="3" t="s">
        <v>17</v>
      </c>
      <c r="I224" s="11" t="s">
        <v>338</v>
      </c>
      <c r="J224" s="1" t="s">
        <v>18</v>
      </c>
      <c r="L224" s="1" t="s">
        <v>339</v>
      </c>
    </row>
    <row r="225" customFormat="false" ht="12.75" hidden="false" customHeight="false" outlineLevel="0" collapsed="false">
      <c r="E225" s="1" t="s">
        <v>319</v>
      </c>
      <c r="F225" s="1" t="s">
        <v>141</v>
      </c>
      <c r="G225" s="1" t="s">
        <v>299</v>
      </c>
      <c r="H225" s="8" t="s">
        <v>320</v>
      </c>
      <c r="J225" s="1" t="s">
        <v>312</v>
      </c>
      <c r="K225" s="1" t="s">
        <v>92</v>
      </c>
    </row>
    <row r="226" customFormat="false" ht="36.9" hidden="false" customHeight="false" outlineLevel="0" collapsed="false">
      <c r="C226" s="3" t="s">
        <v>321</v>
      </c>
      <c r="E226" s="1" t="s">
        <v>322</v>
      </c>
      <c r="F226" s="1" t="s">
        <v>323</v>
      </c>
      <c r="G226" s="1" t="s">
        <v>299</v>
      </c>
      <c r="H226" s="8" t="s">
        <v>324</v>
      </c>
    </row>
    <row r="227" customFormat="false" ht="12.75" hidden="false" customHeight="false" outlineLevel="0" collapsed="false">
      <c r="C227" s="1" t="s">
        <v>325</v>
      </c>
      <c r="E227" s="1" t="s">
        <v>326</v>
      </c>
      <c r="F227" s="1" t="s">
        <v>123</v>
      </c>
      <c r="G227" s="1" t="s">
        <v>299</v>
      </c>
      <c r="H227" s="8" t="s">
        <v>301</v>
      </c>
      <c r="K227" s="1" t="s">
        <v>125</v>
      </c>
    </row>
    <row r="228" customFormat="false" ht="12.75" hidden="false" customHeight="false" outlineLevel="0" collapsed="false">
      <c r="C228" s="1" t="s">
        <v>327</v>
      </c>
      <c r="E228" s="1" t="s">
        <v>328</v>
      </c>
      <c r="F228" s="1" t="s">
        <v>123</v>
      </c>
      <c r="G228" s="1" t="s">
        <v>299</v>
      </c>
      <c r="H228" s="8" t="s">
        <v>302</v>
      </c>
      <c r="K228" s="1" t="s">
        <v>125</v>
      </c>
    </row>
    <row r="229" customFormat="false" ht="12.75" hidden="false" customHeight="false" outlineLevel="0" collapsed="false">
      <c r="C229" s="1" t="s">
        <v>329</v>
      </c>
      <c r="E229" s="1" t="s">
        <v>330</v>
      </c>
      <c r="F229" s="1" t="s">
        <v>21</v>
      </c>
      <c r="G229" s="1" t="s">
        <v>299</v>
      </c>
      <c r="H229" s="8" t="s">
        <v>331</v>
      </c>
    </row>
    <row r="230" customFormat="false" ht="12.75" hidden="false" customHeight="false" outlineLevel="0" collapsed="false">
      <c r="C230" s="1" t="s">
        <v>340</v>
      </c>
      <c r="E230" s="1" t="s">
        <v>308</v>
      </c>
      <c r="F230" s="1" t="s">
        <v>21</v>
      </c>
      <c r="G230" s="1" t="s">
        <v>299</v>
      </c>
      <c r="H230" s="8" t="s">
        <v>341</v>
      </c>
    </row>
    <row r="231" customFormat="false" ht="36.9" hidden="false" customHeight="false" outlineLevel="0" collapsed="false">
      <c r="B231" s="4" t="s">
        <v>342</v>
      </c>
      <c r="D231" s="1" t="s">
        <v>163</v>
      </c>
      <c r="E231" s="1" t="s">
        <v>152</v>
      </c>
      <c r="F231" s="1" t="s">
        <v>292</v>
      </c>
      <c r="G231" s="1" t="s">
        <v>49</v>
      </c>
      <c r="H231" s="4" t="s">
        <v>50</v>
      </c>
      <c r="I231" s="1" t="str">
        <f aca="false">$B$194</f>
        <v>OMOP Systemic Therapy Episode</v>
      </c>
      <c r="K231" s="1" t="s">
        <v>41</v>
      </c>
    </row>
    <row r="232" customFormat="false" ht="12.75" hidden="false" customHeight="false" outlineLevel="0" collapsed="false">
      <c r="E232" s="1" t="s">
        <v>164</v>
      </c>
      <c r="F232" s="1" t="s">
        <v>292</v>
      </c>
      <c r="G232" s="1" t="s">
        <v>49</v>
      </c>
      <c r="H232" s="4" t="s">
        <v>50</v>
      </c>
      <c r="I232" s="2" t="str">
        <f aca="false">$B$223</f>
        <v>OMOP Systemic Therapy Dose Prescribed Drug Exposure</v>
      </c>
      <c r="K232" s="1" t="s">
        <v>41</v>
      </c>
    </row>
    <row r="233" customFormat="false" ht="12.75" hidden="false" customHeight="false" outlineLevel="0" collapsed="false">
      <c r="E233" s="1" t="s">
        <v>165</v>
      </c>
      <c r="F233" s="1" t="s">
        <v>16</v>
      </c>
      <c r="G233" s="1" t="s">
        <v>17</v>
      </c>
      <c r="H233" s="3" t="s">
        <v>17</v>
      </c>
      <c r="I233" s="4" t="s">
        <v>335</v>
      </c>
      <c r="J233" s="1" t="s">
        <v>56</v>
      </c>
      <c r="L233" s="1" t="s">
        <v>336</v>
      </c>
    </row>
    <row r="234" customFormat="false" ht="25.5" hidden="false" customHeight="false" outlineLevel="0" collapsed="false">
      <c r="B234" s="4" t="s">
        <v>343</v>
      </c>
      <c r="G234" s="1" t="s">
        <v>299</v>
      </c>
      <c r="H234" s="12" t="s">
        <v>344</v>
      </c>
    </row>
    <row r="235" customFormat="false" ht="25.5" hidden="false" customHeight="false" outlineLevel="0" collapsed="false">
      <c r="A235" s="3" t="s">
        <v>345</v>
      </c>
      <c r="B235" s="4" t="s">
        <v>346</v>
      </c>
      <c r="D235" s="1" t="s">
        <v>23</v>
      </c>
      <c r="E235" s="1" t="s">
        <v>152</v>
      </c>
      <c r="F235" s="1" t="s">
        <v>277</v>
      </c>
      <c r="G235" s="1" t="s">
        <v>49</v>
      </c>
      <c r="H235" s="4" t="s">
        <v>50</v>
      </c>
      <c r="K235" s="1" t="s">
        <v>41</v>
      </c>
    </row>
    <row r="236" customFormat="false" ht="12.75" hidden="false" customHeight="false" outlineLevel="0" collapsed="false">
      <c r="E236" s="1" t="s">
        <v>153</v>
      </c>
      <c r="F236" s="1" t="s">
        <v>16</v>
      </c>
      <c r="G236" s="1" t="s">
        <v>17</v>
      </c>
      <c r="H236" s="3" t="s">
        <v>17</v>
      </c>
      <c r="I236" s="4" t="s">
        <v>347</v>
      </c>
      <c r="J236" s="1" t="s">
        <v>155</v>
      </c>
      <c r="L236" s="1" t="s">
        <v>348</v>
      </c>
    </row>
    <row r="237" customFormat="false" ht="12.75" hidden="false" customHeight="false" outlineLevel="0" collapsed="false">
      <c r="E237" s="1" t="s">
        <v>157</v>
      </c>
      <c r="F237" s="1" t="s">
        <v>16</v>
      </c>
      <c r="G237" s="1" t="s">
        <v>17</v>
      </c>
      <c r="H237" s="3" t="s">
        <v>17</v>
      </c>
      <c r="I237" s="2" t="n">
        <v>0</v>
      </c>
    </row>
    <row r="238" customFormat="false" ht="12.75" hidden="false" customHeight="false" outlineLevel="0" collapsed="false">
      <c r="E238" s="1" t="s">
        <v>158</v>
      </c>
      <c r="F238" s="1" t="s">
        <v>89</v>
      </c>
      <c r="G238" s="1" t="s">
        <v>349</v>
      </c>
      <c r="H238" s="8" t="s">
        <v>350</v>
      </c>
      <c r="I238" s="1"/>
      <c r="K238" s="1" t="s">
        <v>92</v>
      </c>
    </row>
    <row r="239" customFormat="false" ht="12.75" hidden="false" customHeight="false" outlineLevel="0" collapsed="false">
      <c r="E239" s="1" t="s">
        <v>160</v>
      </c>
      <c r="F239" s="1" t="s">
        <v>123</v>
      </c>
      <c r="G239" s="1" t="s">
        <v>17</v>
      </c>
      <c r="H239" s="3" t="s">
        <v>17</v>
      </c>
      <c r="I239" s="4" t="s">
        <v>285</v>
      </c>
      <c r="K239" s="1" t="s">
        <v>125</v>
      </c>
    </row>
    <row r="240" customFormat="false" ht="25.5" hidden="false" customHeight="false" outlineLevel="0" collapsed="false">
      <c r="B240" s="4" t="s">
        <v>351</v>
      </c>
      <c r="D240" s="1" t="s">
        <v>163</v>
      </c>
      <c r="E240" s="1" t="s">
        <v>152</v>
      </c>
      <c r="F240" s="1" t="s">
        <v>38</v>
      </c>
      <c r="G240" s="1" t="s">
        <v>49</v>
      </c>
      <c r="H240" s="4" t="s">
        <v>50</v>
      </c>
      <c r="I240" s="1" t="str">
        <f aca="false">$B$156</f>
        <v>OMOP Treatment Episode</v>
      </c>
      <c r="K240" s="1" t="s">
        <v>41</v>
      </c>
    </row>
    <row r="241" customFormat="false" ht="12.75" hidden="false" customHeight="false" outlineLevel="0" collapsed="false">
      <c r="E241" s="1" t="s">
        <v>164</v>
      </c>
      <c r="F241" s="1" t="s">
        <v>292</v>
      </c>
      <c r="G241" s="1" t="s">
        <v>49</v>
      </c>
      <c r="H241" s="4" t="s">
        <v>50</v>
      </c>
      <c r="I241" s="1" t="str">
        <f aca="false">$B$235</f>
        <v>OMOP Radiation Episode</v>
      </c>
      <c r="K241" s="1" t="s">
        <v>41</v>
      </c>
    </row>
    <row r="242" customFormat="false" ht="12.75" hidden="false" customHeight="false" outlineLevel="0" collapsed="false">
      <c r="E242" s="1" t="s">
        <v>165</v>
      </c>
      <c r="F242" s="1" t="s">
        <v>16</v>
      </c>
      <c r="G242" s="1" t="s">
        <v>17</v>
      </c>
      <c r="H242" s="3" t="s">
        <v>17</v>
      </c>
      <c r="I242" s="4" t="s">
        <v>58</v>
      </c>
      <c r="J242" s="1" t="s">
        <v>56</v>
      </c>
      <c r="L242" s="1" t="s">
        <v>59</v>
      </c>
    </row>
    <row r="243" customFormat="false" ht="12.75" hidden="false" customHeight="false" outlineLevel="0" collapsed="false">
      <c r="B243" s="4" t="s">
        <v>352</v>
      </c>
      <c r="D243" s="1" t="s">
        <v>32</v>
      </c>
      <c r="E243" s="1" t="s">
        <v>276</v>
      </c>
      <c r="F243" s="1" t="s">
        <v>277</v>
      </c>
      <c r="G243" s="1" t="s">
        <v>49</v>
      </c>
      <c r="H243" s="4" t="s">
        <v>50</v>
      </c>
      <c r="K243" s="1" t="s">
        <v>41</v>
      </c>
    </row>
    <row r="244" customFormat="false" ht="12.75" hidden="false" customHeight="false" outlineLevel="0" collapsed="false">
      <c r="C244" s="1" t="s">
        <v>353</v>
      </c>
      <c r="E244" s="1" t="s">
        <v>278</v>
      </c>
      <c r="F244" s="1" t="s">
        <v>89</v>
      </c>
      <c r="G244" s="1" t="s">
        <v>349</v>
      </c>
      <c r="H244" s="8" t="s">
        <v>350</v>
      </c>
      <c r="K244" s="1" t="s">
        <v>92</v>
      </c>
    </row>
    <row r="245" customFormat="false" ht="12.75" hidden="false" customHeight="false" outlineLevel="0" collapsed="false">
      <c r="C245" s="1" t="s">
        <v>354</v>
      </c>
      <c r="E245" s="1" t="s">
        <v>282</v>
      </c>
      <c r="F245" s="1" t="s">
        <v>21</v>
      </c>
      <c r="G245" s="1" t="s">
        <v>349</v>
      </c>
      <c r="H245" s="8" t="s">
        <v>350</v>
      </c>
    </row>
    <row r="246" customFormat="false" ht="12.75" hidden="false" customHeight="false" outlineLevel="0" collapsed="false">
      <c r="E246" s="1" t="s">
        <v>284</v>
      </c>
      <c r="F246" s="1" t="s">
        <v>123</v>
      </c>
      <c r="G246" s="1" t="s">
        <v>17</v>
      </c>
      <c r="H246" s="3" t="s">
        <v>17</v>
      </c>
      <c r="I246" s="4" t="s">
        <v>285</v>
      </c>
      <c r="K246" s="1" t="s">
        <v>125</v>
      </c>
    </row>
    <row r="247" customFormat="false" ht="12.75" hidden="false" customHeight="false" outlineLevel="0" collapsed="false">
      <c r="C247" s="1" t="s">
        <v>355</v>
      </c>
      <c r="E247" s="1" t="s">
        <v>287</v>
      </c>
      <c r="F247" s="1" t="s">
        <v>89</v>
      </c>
      <c r="G247" s="1" t="s">
        <v>349</v>
      </c>
      <c r="H247" s="8" t="s">
        <v>356</v>
      </c>
      <c r="I247" s="5"/>
    </row>
    <row r="248" customFormat="false" ht="12.75" hidden="false" customHeight="false" outlineLevel="0" collapsed="false">
      <c r="C248" s="1" t="s">
        <v>357</v>
      </c>
      <c r="E248" s="1" t="s">
        <v>290</v>
      </c>
      <c r="F248" s="1" t="s">
        <v>21</v>
      </c>
      <c r="G248" s="1" t="s">
        <v>349</v>
      </c>
      <c r="H248" s="8" t="s">
        <v>356</v>
      </c>
      <c r="I248" s="5"/>
    </row>
    <row r="249" customFormat="false" ht="25.5" hidden="false" customHeight="false" outlineLevel="0" collapsed="false">
      <c r="B249" s="4" t="s">
        <v>358</v>
      </c>
      <c r="D249" s="1" t="s">
        <v>163</v>
      </c>
      <c r="E249" s="1" t="s">
        <v>152</v>
      </c>
      <c r="F249" s="1" t="s">
        <v>292</v>
      </c>
      <c r="G249" s="1" t="s">
        <v>49</v>
      </c>
      <c r="H249" s="4" t="s">
        <v>50</v>
      </c>
      <c r="I249" s="1" t="str">
        <f aca="false">$B$235</f>
        <v>OMOP Radiation Episode</v>
      </c>
      <c r="K249" s="1" t="s">
        <v>41</v>
      </c>
    </row>
    <row r="250" customFormat="false" ht="12.75" hidden="false" customHeight="false" outlineLevel="0" collapsed="false">
      <c r="E250" s="1" t="s">
        <v>164</v>
      </c>
      <c r="F250" s="1" t="s">
        <v>292</v>
      </c>
      <c r="G250" s="1" t="s">
        <v>49</v>
      </c>
      <c r="H250" s="4" t="s">
        <v>50</v>
      </c>
      <c r="I250" s="1" t="str">
        <f aca="false">$B$243</f>
        <v>OMOP Radiation Procedure</v>
      </c>
      <c r="K250" s="1" t="s">
        <v>41</v>
      </c>
    </row>
    <row r="251" customFormat="false" ht="12.75" hidden="false" customHeight="false" outlineLevel="0" collapsed="false">
      <c r="E251" s="1" t="s">
        <v>165</v>
      </c>
      <c r="F251" s="1" t="s">
        <v>16</v>
      </c>
      <c r="G251" s="1" t="s">
        <v>17</v>
      </c>
      <c r="H251" s="3" t="s">
        <v>17</v>
      </c>
      <c r="I251" s="4" t="s">
        <v>293</v>
      </c>
      <c r="J251" s="1" t="s">
        <v>56</v>
      </c>
      <c r="L251" s="1" t="s">
        <v>294</v>
      </c>
    </row>
    <row r="252" customFormat="false" ht="25.5" hidden="false" customHeight="false" outlineLevel="0" collapsed="false">
      <c r="B252" s="4" t="s">
        <v>359</v>
      </c>
      <c r="D252" s="1" t="s">
        <v>29</v>
      </c>
      <c r="E252" s="1" t="s">
        <v>168</v>
      </c>
      <c r="F252" s="1" t="s">
        <v>277</v>
      </c>
      <c r="G252" s="1" t="s">
        <v>49</v>
      </c>
      <c r="H252" s="4" t="s">
        <v>50</v>
      </c>
      <c r="K252" s="1" t="s">
        <v>41</v>
      </c>
    </row>
    <row r="253" customFormat="false" ht="12.75" hidden="false" customHeight="false" outlineLevel="0" collapsed="false">
      <c r="E253" s="1" t="s">
        <v>169</v>
      </c>
      <c r="F253" s="1" t="s">
        <v>16</v>
      </c>
      <c r="G253" s="1" t="s">
        <v>17</v>
      </c>
      <c r="H253" s="3" t="s">
        <v>17</v>
      </c>
      <c r="I253" s="4" t="s">
        <v>360</v>
      </c>
      <c r="J253" s="1" t="s">
        <v>112</v>
      </c>
      <c r="L253" s="1" t="s">
        <v>361</v>
      </c>
    </row>
    <row r="254" customFormat="false" ht="12.75" hidden="false" customHeight="false" outlineLevel="0" collapsed="false">
      <c r="E254" s="1" t="s">
        <v>31</v>
      </c>
      <c r="F254" s="1" t="s">
        <v>123</v>
      </c>
      <c r="G254" s="1" t="s">
        <v>17</v>
      </c>
      <c r="H254" s="3" t="s">
        <v>17</v>
      </c>
      <c r="I254" s="4" t="s">
        <v>285</v>
      </c>
      <c r="K254" s="1" t="s">
        <v>125</v>
      </c>
    </row>
    <row r="255" customFormat="false" ht="12.75" hidden="false" customHeight="false" outlineLevel="0" collapsed="false">
      <c r="E255" s="1" t="s">
        <v>43</v>
      </c>
      <c r="F255" s="1" t="s">
        <v>292</v>
      </c>
      <c r="G255" s="1" t="s">
        <v>49</v>
      </c>
      <c r="H255" s="4" t="s">
        <v>50</v>
      </c>
      <c r="I255" s="2" t="str">
        <f aca="false">$B$235</f>
        <v>OMOP Radiation Episode</v>
      </c>
      <c r="K255" s="1" t="s">
        <v>41</v>
      </c>
    </row>
    <row r="256" customFormat="false" ht="12.75" hidden="false" customHeight="false" outlineLevel="0" collapsed="false">
      <c r="E256" s="1" t="s">
        <v>53</v>
      </c>
      <c r="F256" s="1" t="s">
        <v>16</v>
      </c>
      <c r="G256" s="1" t="s">
        <v>17</v>
      </c>
      <c r="H256" s="3" t="s">
        <v>17</v>
      </c>
      <c r="I256" s="4" t="s">
        <v>58</v>
      </c>
      <c r="J256" s="1" t="s">
        <v>56</v>
      </c>
      <c r="L256" s="1" t="s">
        <v>59</v>
      </c>
    </row>
    <row r="257" customFormat="false" ht="12.75" hidden="false" customHeight="false" outlineLevel="0" collapsed="false">
      <c r="C257" s="1" t="s">
        <v>362</v>
      </c>
      <c r="E257" s="1" t="s">
        <v>363</v>
      </c>
      <c r="F257" s="1" t="s">
        <v>21</v>
      </c>
      <c r="G257" s="1" t="s">
        <v>349</v>
      </c>
      <c r="H257" s="8" t="s">
        <v>364</v>
      </c>
      <c r="K257" s="1" t="s">
        <v>41</v>
      </c>
    </row>
    <row r="258" customFormat="false" ht="12.75" hidden="false" customHeight="false" outlineLevel="0" collapsed="false">
      <c r="C258" s="1" t="s">
        <v>365</v>
      </c>
      <c r="E258" s="1" t="s">
        <v>366</v>
      </c>
      <c r="F258" s="1" t="s">
        <v>16</v>
      </c>
      <c r="G258" s="1" t="s">
        <v>17</v>
      </c>
      <c r="H258" s="3" t="s">
        <v>17</v>
      </c>
      <c r="I258" s="4" t="s">
        <v>367</v>
      </c>
      <c r="J258" s="1" t="s">
        <v>112</v>
      </c>
      <c r="L258" s="1" t="s">
        <v>368</v>
      </c>
    </row>
    <row r="259" customFormat="false" ht="25.5" hidden="false" customHeight="false" outlineLevel="0" collapsed="false">
      <c r="B259" s="4" t="s">
        <v>369</v>
      </c>
      <c r="D259" s="1" t="s">
        <v>29</v>
      </c>
      <c r="E259" s="1" t="s">
        <v>168</v>
      </c>
      <c r="F259" s="1" t="s">
        <v>277</v>
      </c>
      <c r="G259" s="1" t="s">
        <v>49</v>
      </c>
      <c r="H259" s="4" t="s">
        <v>50</v>
      </c>
      <c r="K259" s="1" t="s">
        <v>41</v>
      </c>
    </row>
    <row r="260" customFormat="false" ht="12.75" hidden="false" customHeight="false" outlineLevel="0" collapsed="false">
      <c r="E260" s="1" t="s">
        <v>169</v>
      </c>
      <c r="F260" s="1" t="s">
        <v>16</v>
      </c>
      <c r="G260" s="1" t="s">
        <v>349</v>
      </c>
      <c r="H260" s="8"/>
      <c r="I260" s="4" t="s">
        <v>370</v>
      </c>
      <c r="J260" s="1" t="s">
        <v>112</v>
      </c>
      <c r="L260" s="1" t="s">
        <v>371</v>
      </c>
    </row>
    <row r="261" customFormat="false" ht="12.75" hidden="false" customHeight="false" outlineLevel="0" collapsed="false">
      <c r="E261" s="1" t="s">
        <v>31</v>
      </c>
      <c r="F261" s="1" t="s">
        <v>123</v>
      </c>
      <c r="G261" s="1" t="s">
        <v>17</v>
      </c>
      <c r="H261" s="3" t="s">
        <v>17</v>
      </c>
      <c r="I261" s="4" t="s">
        <v>285</v>
      </c>
      <c r="K261" s="1" t="s">
        <v>125</v>
      </c>
    </row>
    <row r="262" customFormat="false" ht="12.75" hidden="false" customHeight="false" outlineLevel="0" collapsed="false">
      <c r="E262" s="1" t="s">
        <v>43</v>
      </c>
      <c r="F262" s="1" t="s">
        <v>292</v>
      </c>
      <c r="G262" s="1" t="s">
        <v>49</v>
      </c>
      <c r="H262" s="4" t="s">
        <v>50</v>
      </c>
      <c r="I262" s="2" t="str">
        <f aca="false">$B$235</f>
        <v>OMOP Radiation Episode</v>
      </c>
      <c r="K262" s="1" t="s">
        <v>41</v>
      </c>
    </row>
    <row r="263" customFormat="false" ht="12.75" hidden="false" customHeight="false" outlineLevel="0" collapsed="false">
      <c r="E263" s="1" t="s">
        <v>53</v>
      </c>
      <c r="F263" s="1" t="s">
        <v>16</v>
      </c>
      <c r="G263" s="1" t="s">
        <v>17</v>
      </c>
      <c r="H263" s="3" t="s">
        <v>17</v>
      </c>
      <c r="I263" s="4" t="s">
        <v>58</v>
      </c>
      <c r="J263" s="1" t="s">
        <v>56</v>
      </c>
      <c r="L263" s="1" t="s">
        <v>59</v>
      </c>
    </row>
    <row r="264" customFormat="false" ht="12.75" hidden="false" customHeight="false" outlineLevel="0" collapsed="false">
      <c r="C264" s="1" t="s">
        <v>362</v>
      </c>
      <c r="E264" s="1" t="s">
        <v>363</v>
      </c>
      <c r="F264" s="1" t="s">
        <v>21</v>
      </c>
      <c r="G264" s="1" t="s">
        <v>349</v>
      </c>
      <c r="H264" s="8" t="s">
        <v>372</v>
      </c>
      <c r="K264" s="1" t="s">
        <v>41</v>
      </c>
    </row>
    <row r="265" customFormat="false" ht="25.5" hidden="false" customHeight="false" outlineLevel="0" collapsed="false">
      <c r="B265" s="4" t="s">
        <v>373</v>
      </c>
      <c r="D265" s="1" t="s">
        <v>14</v>
      </c>
      <c r="E265" s="1" t="s">
        <v>110</v>
      </c>
      <c r="F265" s="1" t="s">
        <v>277</v>
      </c>
      <c r="G265" s="1" t="s">
        <v>49</v>
      </c>
      <c r="H265" s="4" t="s">
        <v>50</v>
      </c>
      <c r="K265" s="1" t="s">
        <v>41</v>
      </c>
    </row>
    <row r="266" customFormat="false" ht="12.75" hidden="false" customHeight="false" outlineLevel="0" collapsed="false">
      <c r="E266" s="1" t="s">
        <v>111</v>
      </c>
      <c r="F266" s="1" t="s">
        <v>16</v>
      </c>
      <c r="G266" s="1" t="s">
        <v>17</v>
      </c>
      <c r="H266" s="3" t="s">
        <v>17</v>
      </c>
      <c r="I266" s="4" t="s">
        <v>374</v>
      </c>
      <c r="J266" s="1" t="s">
        <v>112</v>
      </c>
      <c r="L266" s="1" t="s">
        <v>375</v>
      </c>
    </row>
    <row r="267" customFormat="false" ht="12.75" hidden="false" customHeight="false" outlineLevel="0" collapsed="false">
      <c r="E267" s="1" t="s">
        <v>20</v>
      </c>
      <c r="F267" s="1" t="s">
        <v>123</v>
      </c>
      <c r="G267" s="1" t="s">
        <v>17</v>
      </c>
      <c r="H267" s="3" t="s">
        <v>17</v>
      </c>
      <c r="I267" s="4" t="s">
        <v>285</v>
      </c>
      <c r="K267" s="1" t="s">
        <v>125</v>
      </c>
    </row>
    <row r="268" customFormat="false" ht="12.75" hidden="false" customHeight="false" outlineLevel="0" collapsed="false">
      <c r="E268" s="1" t="s">
        <v>189</v>
      </c>
      <c r="F268" s="1" t="s">
        <v>292</v>
      </c>
      <c r="G268" s="1" t="s">
        <v>49</v>
      </c>
      <c r="H268" s="4" t="s">
        <v>50</v>
      </c>
      <c r="I268" s="2" t="str">
        <f aca="false">$B$235</f>
        <v>OMOP Radiation Episode</v>
      </c>
      <c r="K268" s="1" t="s">
        <v>41</v>
      </c>
    </row>
    <row r="269" customFormat="false" ht="12.75" hidden="false" customHeight="false" outlineLevel="0" collapsed="false">
      <c r="E269" s="1" t="s">
        <v>190</v>
      </c>
      <c r="F269" s="1" t="s">
        <v>16</v>
      </c>
      <c r="G269" s="1" t="s">
        <v>17</v>
      </c>
      <c r="H269" s="3" t="s">
        <v>17</v>
      </c>
      <c r="I269" s="4" t="s">
        <v>58</v>
      </c>
      <c r="J269" s="1" t="s">
        <v>56</v>
      </c>
      <c r="L269" s="1" t="s">
        <v>59</v>
      </c>
    </row>
    <row r="270" customFormat="false" ht="12.75" hidden="false" customHeight="false" outlineLevel="0" collapsed="false">
      <c r="C270" s="1" t="s">
        <v>376</v>
      </c>
      <c r="E270" s="1" t="s">
        <v>115</v>
      </c>
      <c r="F270" s="1" t="s">
        <v>89</v>
      </c>
      <c r="G270" s="1" t="s">
        <v>349</v>
      </c>
      <c r="H270" s="8" t="s">
        <v>377</v>
      </c>
      <c r="K270" s="1" t="s">
        <v>41</v>
      </c>
    </row>
    <row r="271" customFormat="false" ht="12.75" hidden="false" customHeight="false" outlineLevel="0" collapsed="false">
      <c r="C271" s="1" t="s">
        <v>378</v>
      </c>
      <c r="E271" s="1" t="s">
        <v>118</v>
      </c>
      <c r="F271" s="1" t="s">
        <v>21</v>
      </c>
      <c r="G271" s="1" t="s">
        <v>349</v>
      </c>
      <c r="H271" s="8" t="s">
        <v>377</v>
      </c>
    </row>
    <row r="272" customFormat="false" ht="25.5" hidden="false" customHeight="false" outlineLevel="0" collapsed="false">
      <c r="B272" s="4" t="s">
        <v>379</v>
      </c>
      <c r="D272" s="1" t="s">
        <v>32</v>
      </c>
      <c r="E272" s="1" t="s">
        <v>276</v>
      </c>
      <c r="F272" s="1" t="s">
        <v>277</v>
      </c>
      <c r="G272" s="1" t="s">
        <v>49</v>
      </c>
      <c r="H272" s="4" t="s">
        <v>50</v>
      </c>
      <c r="K272" s="1" t="s">
        <v>41</v>
      </c>
    </row>
    <row r="273" customFormat="false" ht="12.75" hidden="false" customHeight="false" outlineLevel="0" collapsed="false">
      <c r="E273" s="1" t="s">
        <v>278</v>
      </c>
      <c r="F273" s="1" t="s">
        <v>16</v>
      </c>
      <c r="G273" s="1" t="s">
        <v>17</v>
      </c>
      <c r="H273" s="8" t="s">
        <v>17</v>
      </c>
      <c r="I273" s="4" t="s">
        <v>380</v>
      </c>
      <c r="J273" s="1" t="s">
        <v>112</v>
      </c>
      <c r="L273" s="1" t="s">
        <v>381</v>
      </c>
    </row>
    <row r="274" customFormat="false" ht="12.75" hidden="false" customHeight="false" outlineLevel="0" collapsed="false">
      <c r="E274" s="1" t="s">
        <v>284</v>
      </c>
      <c r="F274" s="1" t="s">
        <v>123</v>
      </c>
      <c r="G274" s="1" t="s">
        <v>17</v>
      </c>
      <c r="H274" s="3" t="s">
        <v>17</v>
      </c>
      <c r="I274" s="4" t="s">
        <v>285</v>
      </c>
      <c r="K274" s="1" t="s">
        <v>125</v>
      </c>
    </row>
    <row r="275" customFormat="false" ht="12.75" hidden="false" customHeight="false" outlineLevel="0" collapsed="false">
      <c r="E275" s="1" t="s">
        <v>287</v>
      </c>
      <c r="F275" s="1" t="s">
        <v>89</v>
      </c>
      <c r="G275" s="1" t="s">
        <v>349</v>
      </c>
      <c r="H275" s="8" t="s">
        <v>382</v>
      </c>
      <c r="K275" s="1" t="s">
        <v>41</v>
      </c>
    </row>
    <row r="276" customFormat="false" ht="12.75" hidden="false" customHeight="false" outlineLevel="0" collapsed="false">
      <c r="E276" s="1" t="s">
        <v>290</v>
      </c>
      <c r="F276" s="1" t="s">
        <v>21</v>
      </c>
      <c r="G276" s="1" t="s">
        <v>349</v>
      </c>
      <c r="H276" s="8" t="s">
        <v>382</v>
      </c>
    </row>
    <row r="277" customFormat="false" ht="36.9" hidden="false" customHeight="false" outlineLevel="0" collapsed="false">
      <c r="B277" s="4" t="s">
        <v>383</v>
      </c>
      <c r="D277" s="1" t="s">
        <v>163</v>
      </c>
      <c r="E277" s="1" t="s">
        <v>152</v>
      </c>
      <c r="F277" s="1" t="s">
        <v>292</v>
      </c>
      <c r="G277" s="1" t="s">
        <v>49</v>
      </c>
      <c r="H277" s="4" t="s">
        <v>50</v>
      </c>
      <c r="I277" s="1" t="str">
        <f aca="false">$B$235</f>
        <v>OMOP Radiation Episode</v>
      </c>
      <c r="K277" s="1" t="s">
        <v>41</v>
      </c>
    </row>
    <row r="278" customFormat="false" ht="12.75" hidden="false" customHeight="false" outlineLevel="0" collapsed="false">
      <c r="E278" s="1" t="s">
        <v>164</v>
      </c>
      <c r="F278" s="1" t="s">
        <v>292</v>
      </c>
      <c r="G278" s="1" t="s">
        <v>49</v>
      </c>
      <c r="H278" s="4" t="s">
        <v>50</v>
      </c>
      <c r="I278" s="2" t="str">
        <f aca="false">$B$272</f>
        <v>OMOP Radiation Boost Procedure</v>
      </c>
      <c r="K278" s="1" t="s">
        <v>41</v>
      </c>
    </row>
    <row r="279" customFormat="false" ht="12.75" hidden="false" customHeight="false" outlineLevel="0" collapsed="false">
      <c r="E279" s="1" t="s">
        <v>165</v>
      </c>
      <c r="F279" s="1" t="s">
        <v>16</v>
      </c>
      <c r="G279" s="1" t="s">
        <v>17</v>
      </c>
      <c r="H279" s="3" t="s">
        <v>17</v>
      </c>
      <c r="I279" s="4" t="s">
        <v>293</v>
      </c>
      <c r="J279" s="1" t="s">
        <v>56</v>
      </c>
      <c r="L279" s="1" t="s">
        <v>294</v>
      </c>
    </row>
    <row r="280" customFormat="false" ht="25.5" hidden="false" customHeight="false" outlineLevel="0" collapsed="false">
      <c r="A280" s="3" t="s">
        <v>384</v>
      </c>
      <c r="B280" s="4" t="s">
        <v>385</v>
      </c>
      <c r="D280" s="1" t="s">
        <v>64</v>
      </c>
      <c r="E280" s="1" t="s">
        <v>17</v>
      </c>
      <c r="F280" s="1" t="s">
        <v>75</v>
      </c>
      <c r="G280" s="1" t="s">
        <v>386</v>
      </c>
      <c r="H280" s="8" t="s">
        <v>387</v>
      </c>
    </row>
    <row r="281" customFormat="false" ht="12.75" hidden="false" customHeight="false" outlineLevel="0" collapsed="false">
      <c r="D281" s="1" t="s">
        <v>23</v>
      </c>
      <c r="E281" s="1" t="s">
        <v>152</v>
      </c>
      <c r="F281" s="1" t="s">
        <v>277</v>
      </c>
      <c r="G281" s="1" t="s">
        <v>49</v>
      </c>
      <c r="H281" s="4" t="s">
        <v>50</v>
      </c>
      <c r="K281" s="1" t="s">
        <v>41</v>
      </c>
    </row>
    <row r="282" customFormat="false" ht="12.75" hidden="false" customHeight="false" outlineLevel="0" collapsed="false">
      <c r="E282" s="1" t="s">
        <v>153</v>
      </c>
      <c r="F282" s="1" t="s">
        <v>16</v>
      </c>
      <c r="G282" s="1" t="s">
        <v>17</v>
      </c>
      <c r="H282" s="3" t="s">
        <v>17</v>
      </c>
      <c r="I282" s="4" t="s">
        <v>388</v>
      </c>
      <c r="J282" s="1" t="s">
        <v>155</v>
      </c>
      <c r="L282" s="1" t="s">
        <v>389</v>
      </c>
    </row>
    <row r="283" customFormat="false" ht="12.75" hidden="false" customHeight="false" outlineLevel="0" collapsed="false">
      <c r="E283" s="1" t="s">
        <v>157</v>
      </c>
      <c r="F283" s="1" t="s">
        <v>16</v>
      </c>
      <c r="G283" s="1" t="s">
        <v>17</v>
      </c>
      <c r="H283" s="3" t="s">
        <v>17</v>
      </c>
      <c r="I283" s="2" t="n">
        <v>0</v>
      </c>
    </row>
    <row r="284" customFormat="false" ht="12.75" hidden="false" customHeight="false" outlineLevel="0" collapsed="false">
      <c r="E284" s="1" t="s">
        <v>158</v>
      </c>
      <c r="F284" s="1" t="s">
        <v>141</v>
      </c>
      <c r="G284" s="1" t="s">
        <v>386</v>
      </c>
      <c r="H284" s="8" t="s">
        <v>390</v>
      </c>
      <c r="I284" s="1"/>
      <c r="J284" s="1" t="s">
        <v>391</v>
      </c>
      <c r="K284" s="1" t="s">
        <v>92</v>
      </c>
    </row>
    <row r="285" customFormat="false" ht="12.75" hidden="false" customHeight="false" outlineLevel="0" collapsed="false">
      <c r="E285" s="1" t="s">
        <v>160</v>
      </c>
      <c r="F285" s="1" t="s">
        <v>123</v>
      </c>
      <c r="G285" s="1" t="s">
        <v>17</v>
      </c>
      <c r="H285" s="10" t="s">
        <v>17</v>
      </c>
      <c r="I285" s="4" t="s">
        <v>285</v>
      </c>
      <c r="K285" s="1" t="s">
        <v>125</v>
      </c>
    </row>
    <row r="286" customFormat="false" ht="12.75" hidden="false" customHeight="false" outlineLevel="0" collapsed="false">
      <c r="D286" s="1" t="s">
        <v>64</v>
      </c>
      <c r="E286" s="1" t="s">
        <v>392</v>
      </c>
      <c r="F286" s="1" t="s">
        <v>292</v>
      </c>
      <c r="G286" s="1" t="s">
        <v>49</v>
      </c>
      <c r="H286" s="4" t="s">
        <v>50</v>
      </c>
      <c r="I286" s="2" t="str">
        <f aca="false">$B$280</f>
        <v>OMOP Surgery Episode</v>
      </c>
    </row>
    <row r="287" customFormat="false" ht="25.5" hidden="false" customHeight="false" outlineLevel="0" collapsed="false">
      <c r="B287" s="4" t="s">
        <v>393</v>
      </c>
      <c r="D287" s="1" t="s">
        <v>163</v>
      </c>
      <c r="E287" s="1" t="s">
        <v>152</v>
      </c>
      <c r="F287" s="1" t="s">
        <v>38</v>
      </c>
      <c r="G287" s="1" t="s">
        <v>49</v>
      </c>
      <c r="H287" s="4" t="s">
        <v>50</v>
      </c>
      <c r="I287" s="1" t="str">
        <f aca="false">$B$156</f>
        <v>OMOP Treatment Episode</v>
      </c>
      <c r="K287" s="1" t="s">
        <v>41</v>
      </c>
    </row>
    <row r="288" customFormat="false" ht="12.75" hidden="false" customHeight="false" outlineLevel="0" collapsed="false">
      <c r="E288" s="1" t="s">
        <v>164</v>
      </c>
      <c r="F288" s="1" t="s">
        <v>292</v>
      </c>
      <c r="G288" s="1" t="s">
        <v>49</v>
      </c>
      <c r="H288" s="4" t="s">
        <v>50</v>
      </c>
      <c r="I288" s="2" t="str">
        <f aca="false">$B$280</f>
        <v>OMOP Surgery Episode</v>
      </c>
      <c r="K288" s="1" t="s">
        <v>41</v>
      </c>
    </row>
    <row r="289" customFormat="false" ht="12.75" hidden="false" customHeight="false" outlineLevel="0" collapsed="false">
      <c r="E289" s="1" t="s">
        <v>165</v>
      </c>
      <c r="F289" s="1" t="s">
        <v>16</v>
      </c>
      <c r="G289" s="1" t="s">
        <v>17</v>
      </c>
      <c r="H289" s="3" t="s">
        <v>17</v>
      </c>
      <c r="I289" s="4" t="s">
        <v>58</v>
      </c>
      <c r="J289" s="1" t="s">
        <v>56</v>
      </c>
      <c r="L289" s="1" t="s">
        <v>59</v>
      </c>
    </row>
    <row r="290" customFormat="false" ht="12.75" hidden="false" customHeight="false" outlineLevel="0" collapsed="false">
      <c r="B290" s="4" t="s">
        <v>394</v>
      </c>
      <c r="D290" s="1" t="s">
        <v>32</v>
      </c>
      <c r="E290" s="1" t="s">
        <v>276</v>
      </c>
      <c r="F290" s="1" t="s">
        <v>277</v>
      </c>
      <c r="G290" s="1" t="s">
        <v>49</v>
      </c>
      <c r="H290" s="4" t="s">
        <v>50</v>
      </c>
      <c r="K290" s="1" t="s">
        <v>41</v>
      </c>
    </row>
    <row r="291" customFormat="false" ht="12.75" hidden="false" customHeight="false" outlineLevel="0" collapsed="false">
      <c r="C291" s="1" t="s">
        <v>395</v>
      </c>
      <c r="E291" s="1" t="s">
        <v>278</v>
      </c>
      <c r="F291" s="1" t="s">
        <v>141</v>
      </c>
      <c r="G291" s="1" t="s">
        <v>386</v>
      </c>
      <c r="H291" s="8" t="s">
        <v>390</v>
      </c>
      <c r="I291" s="1"/>
      <c r="J291" s="1" t="s">
        <v>391</v>
      </c>
      <c r="K291" s="1" t="s">
        <v>92</v>
      </c>
    </row>
    <row r="292" customFormat="false" ht="36.9" hidden="false" customHeight="false" outlineLevel="0" collapsed="false">
      <c r="C292" s="3" t="s">
        <v>396</v>
      </c>
      <c r="E292" s="1" t="s">
        <v>282</v>
      </c>
      <c r="F292" s="1" t="s">
        <v>323</v>
      </c>
      <c r="G292" s="1" t="s">
        <v>386</v>
      </c>
      <c r="H292" s="8" t="s">
        <v>397</v>
      </c>
    </row>
    <row r="293" customFormat="false" ht="12.75" hidden="false" customHeight="false" outlineLevel="0" collapsed="false">
      <c r="E293" s="1" t="s">
        <v>284</v>
      </c>
      <c r="F293" s="1" t="s">
        <v>123</v>
      </c>
      <c r="G293" s="1" t="s">
        <v>17</v>
      </c>
      <c r="H293" s="3" t="s">
        <v>17</v>
      </c>
      <c r="I293" s="4" t="s">
        <v>285</v>
      </c>
      <c r="K293" s="1" t="s">
        <v>125</v>
      </c>
    </row>
    <row r="294" customFormat="false" ht="25.5" hidden="false" customHeight="false" outlineLevel="0" collapsed="false">
      <c r="B294" s="4" t="s">
        <v>398</v>
      </c>
      <c r="D294" s="1" t="s">
        <v>163</v>
      </c>
      <c r="E294" s="1" t="s">
        <v>152</v>
      </c>
      <c r="F294" s="1" t="s">
        <v>292</v>
      </c>
      <c r="G294" s="1" t="s">
        <v>49</v>
      </c>
      <c r="H294" s="4" t="s">
        <v>50</v>
      </c>
      <c r="I294" s="2" t="str">
        <f aca="false">$B$280</f>
        <v>OMOP Surgery Episode</v>
      </c>
      <c r="K294" s="1" t="s">
        <v>41</v>
      </c>
    </row>
    <row r="295" customFormat="false" ht="12.75" hidden="false" customHeight="false" outlineLevel="0" collapsed="false">
      <c r="E295" s="1" t="s">
        <v>164</v>
      </c>
      <c r="F295" s="1" t="s">
        <v>292</v>
      </c>
      <c r="G295" s="1" t="s">
        <v>49</v>
      </c>
      <c r="H295" s="4" t="s">
        <v>50</v>
      </c>
      <c r="I295" s="2" t="str">
        <f aca="false">$B$290</f>
        <v>OMOP Surgery Procedure</v>
      </c>
      <c r="K295" s="1" t="s">
        <v>41</v>
      </c>
    </row>
    <row r="296" customFormat="false" ht="12.75" hidden="false" customHeight="false" outlineLevel="0" collapsed="false">
      <c r="E296" s="1" t="s">
        <v>165</v>
      </c>
      <c r="F296" s="1" t="s">
        <v>16</v>
      </c>
      <c r="G296" s="1" t="s">
        <v>17</v>
      </c>
      <c r="H296" s="3" t="s">
        <v>17</v>
      </c>
      <c r="I296" s="4" t="s">
        <v>293</v>
      </c>
      <c r="J296" s="1" t="s">
        <v>56</v>
      </c>
      <c r="L296" s="1" t="s">
        <v>294</v>
      </c>
    </row>
    <row r="297" customFormat="false" ht="25.5" hidden="false" customHeight="false" outlineLevel="0" collapsed="false">
      <c r="B297" s="4" t="s">
        <v>399</v>
      </c>
      <c r="D297" s="1" t="s">
        <v>29</v>
      </c>
      <c r="E297" s="1" t="s">
        <v>168</v>
      </c>
      <c r="F297" s="1" t="s">
        <v>277</v>
      </c>
      <c r="G297" s="1" t="s">
        <v>49</v>
      </c>
      <c r="H297" s="4" t="s">
        <v>50</v>
      </c>
      <c r="K297" s="1" t="s">
        <v>41</v>
      </c>
    </row>
    <row r="298" customFormat="false" ht="12.75" hidden="false" customHeight="false" outlineLevel="0" collapsed="false">
      <c r="E298" s="1" t="s">
        <v>169</v>
      </c>
      <c r="F298" s="1" t="s">
        <v>16</v>
      </c>
      <c r="H298" s="8"/>
      <c r="I298" s="4" t="s">
        <v>400</v>
      </c>
      <c r="J298" s="1" t="s">
        <v>112</v>
      </c>
      <c r="L298" s="1" t="s">
        <v>401</v>
      </c>
    </row>
    <row r="299" customFormat="false" ht="12.75" hidden="false" customHeight="false" outlineLevel="0" collapsed="false">
      <c r="E299" s="1" t="s">
        <v>31</v>
      </c>
      <c r="F299" s="1" t="s">
        <v>123</v>
      </c>
      <c r="G299" s="1" t="s">
        <v>17</v>
      </c>
      <c r="H299" s="3" t="s">
        <v>17</v>
      </c>
      <c r="I299" s="4" t="s">
        <v>285</v>
      </c>
      <c r="K299" s="1" t="s">
        <v>125</v>
      </c>
    </row>
    <row r="300" customFormat="false" ht="12.75" hidden="false" customHeight="false" outlineLevel="0" collapsed="false">
      <c r="E300" s="1" t="s">
        <v>43</v>
      </c>
      <c r="F300" s="1" t="s">
        <v>292</v>
      </c>
      <c r="G300" s="1" t="s">
        <v>49</v>
      </c>
      <c r="H300" s="4" t="s">
        <v>50</v>
      </c>
      <c r="I300" s="2" t="str">
        <f aca="false">$B$280</f>
        <v>OMOP Surgery Episode</v>
      </c>
      <c r="K300" s="1" t="s">
        <v>41</v>
      </c>
    </row>
    <row r="301" customFormat="false" ht="12.75" hidden="false" customHeight="false" outlineLevel="0" collapsed="false">
      <c r="E301" s="1" t="s">
        <v>53</v>
      </c>
      <c r="F301" s="1" t="s">
        <v>16</v>
      </c>
      <c r="G301" s="1" t="s">
        <v>17</v>
      </c>
      <c r="H301" s="3" t="s">
        <v>17</v>
      </c>
      <c r="I301" s="4" t="s">
        <v>58</v>
      </c>
      <c r="J301" s="1" t="s">
        <v>56</v>
      </c>
      <c r="L301" s="1" t="s">
        <v>59</v>
      </c>
    </row>
    <row r="302" customFormat="false" ht="12.75" hidden="false" customHeight="false" outlineLevel="0" collapsed="false">
      <c r="C302" s="1" t="s">
        <v>402</v>
      </c>
      <c r="E302" s="1" t="s">
        <v>363</v>
      </c>
      <c r="F302" s="1" t="s">
        <v>21</v>
      </c>
      <c r="G302" s="1" t="s">
        <v>386</v>
      </c>
      <c r="H302" s="8" t="s">
        <v>403</v>
      </c>
      <c r="K302" s="1" t="s">
        <v>41</v>
      </c>
    </row>
    <row r="303" customFormat="false" ht="12.75" hidden="false" customHeight="false" outlineLevel="0" collapsed="false">
      <c r="E303" s="1" t="s">
        <v>366</v>
      </c>
      <c r="F303" s="1" t="s">
        <v>16</v>
      </c>
      <c r="G303" s="1" t="s">
        <v>17</v>
      </c>
      <c r="H303" s="3" t="s">
        <v>17</v>
      </c>
      <c r="I303" s="4" t="s">
        <v>404</v>
      </c>
      <c r="J303" s="1" t="s">
        <v>112</v>
      </c>
      <c r="L303" s="1" t="s">
        <v>405</v>
      </c>
    </row>
    <row r="304" customFormat="false" ht="25.5" hidden="false" customHeight="false" outlineLevel="0" collapsed="false">
      <c r="B304" s="4" t="s">
        <v>406</v>
      </c>
      <c r="D304" s="1" t="s">
        <v>29</v>
      </c>
      <c r="E304" s="1" t="s">
        <v>168</v>
      </c>
      <c r="F304" s="1" t="s">
        <v>277</v>
      </c>
      <c r="G304" s="1" t="s">
        <v>49</v>
      </c>
      <c r="H304" s="4" t="s">
        <v>50</v>
      </c>
      <c r="K304" s="1" t="s">
        <v>41</v>
      </c>
    </row>
    <row r="305" customFormat="false" ht="12.75" hidden="false" customHeight="false" outlineLevel="0" collapsed="false">
      <c r="E305" s="1" t="s">
        <v>169</v>
      </c>
      <c r="F305" s="1" t="s">
        <v>16</v>
      </c>
      <c r="H305" s="8"/>
      <c r="I305" s="4" t="s">
        <v>407</v>
      </c>
      <c r="J305" s="1" t="s">
        <v>112</v>
      </c>
      <c r="L305" s="1" t="s">
        <v>408</v>
      </c>
    </row>
    <row r="306" customFormat="false" ht="12.75" hidden="false" customHeight="false" outlineLevel="0" collapsed="false">
      <c r="E306" s="1" t="s">
        <v>31</v>
      </c>
      <c r="F306" s="1" t="s">
        <v>123</v>
      </c>
      <c r="G306" s="1" t="s">
        <v>17</v>
      </c>
      <c r="H306" s="3" t="s">
        <v>17</v>
      </c>
      <c r="I306" s="4" t="s">
        <v>285</v>
      </c>
      <c r="K306" s="1" t="s">
        <v>125</v>
      </c>
    </row>
    <row r="307" customFormat="false" ht="12.75" hidden="false" customHeight="false" outlineLevel="0" collapsed="false">
      <c r="E307" s="1" t="s">
        <v>43</v>
      </c>
      <c r="F307" s="1" t="s">
        <v>292</v>
      </c>
      <c r="G307" s="1" t="s">
        <v>49</v>
      </c>
      <c r="H307" s="4" t="s">
        <v>50</v>
      </c>
      <c r="I307" s="2" t="str">
        <f aca="false">$B$280</f>
        <v>OMOP Surgery Episode</v>
      </c>
      <c r="K307" s="1" t="s">
        <v>41</v>
      </c>
    </row>
    <row r="308" customFormat="false" ht="12.75" hidden="false" customHeight="false" outlineLevel="0" collapsed="false">
      <c r="E308" s="1" t="s">
        <v>53</v>
      </c>
      <c r="F308" s="1" t="s">
        <v>16</v>
      </c>
      <c r="G308" s="1" t="s">
        <v>17</v>
      </c>
      <c r="H308" s="3" t="s">
        <v>17</v>
      </c>
      <c r="I308" s="4" t="s">
        <v>58</v>
      </c>
      <c r="J308" s="1" t="s">
        <v>56</v>
      </c>
      <c r="L308" s="1" t="s">
        <v>59</v>
      </c>
    </row>
    <row r="309" customFormat="false" ht="12.75" hidden="false" customHeight="false" outlineLevel="0" collapsed="false">
      <c r="C309" s="1" t="s">
        <v>409</v>
      </c>
      <c r="E309" s="1" t="s">
        <v>363</v>
      </c>
      <c r="F309" s="1" t="s">
        <v>21</v>
      </c>
      <c r="G309" s="1" t="s">
        <v>386</v>
      </c>
      <c r="H309" s="8" t="s">
        <v>410</v>
      </c>
      <c r="K309" s="1" t="s">
        <v>41</v>
      </c>
    </row>
    <row r="310" customFormat="false" ht="12.75" hidden="false" customHeight="false" outlineLevel="0" collapsed="false">
      <c r="E310" s="1" t="s">
        <v>366</v>
      </c>
      <c r="F310" s="1" t="s">
        <v>16</v>
      </c>
      <c r="G310" s="1" t="s">
        <v>17</v>
      </c>
      <c r="H310" s="3" t="s">
        <v>17</v>
      </c>
      <c r="I310" s="4" t="s">
        <v>404</v>
      </c>
      <c r="J310" s="1" t="s">
        <v>112</v>
      </c>
      <c r="L310" s="1" t="s">
        <v>405</v>
      </c>
    </row>
    <row r="311" customFormat="false" ht="36.9" hidden="false" customHeight="false" outlineLevel="0" collapsed="false">
      <c r="B311" s="4" t="s">
        <v>411</v>
      </c>
      <c r="D311" s="1" t="s">
        <v>29</v>
      </c>
      <c r="E311" s="1" t="s">
        <v>168</v>
      </c>
      <c r="F311" s="1" t="s">
        <v>277</v>
      </c>
      <c r="G311" s="1" t="s">
        <v>49</v>
      </c>
      <c r="H311" s="4" t="s">
        <v>50</v>
      </c>
      <c r="K311" s="1" t="s">
        <v>41</v>
      </c>
    </row>
    <row r="312" customFormat="false" ht="12.75" hidden="false" customHeight="false" outlineLevel="0" collapsed="false">
      <c r="E312" s="1" t="s">
        <v>169</v>
      </c>
      <c r="F312" s="1" t="s">
        <v>16</v>
      </c>
      <c r="H312" s="8"/>
      <c r="I312" s="4" t="s">
        <v>412</v>
      </c>
      <c r="J312" s="1" t="s">
        <v>112</v>
      </c>
      <c r="L312" s="1" t="s">
        <v>413</v>
      </c>
    </row>
    <row r="313" customFormat="false" ht="12.75" hidden="false" customHeight="false" outlineLevel="0" collapsed="false">
      <c r="E313" s="1" t="s">
        <v>31</v>
      </c>
      <c r="F313" s="1" t="s">
        <v>123</v>
      </c>
      <c r="G313" s="1" t="s">
        <v>17</v>
      </c>
      <c r="H313" s="3" t="s">
        <v>17</v>
      </c>
      <c r="I313" s="4" t="s">
        <v>285</v>
      </c>
      <c r="K313" s="1" t="s">
        <v>125</v>
      </c>
    </row>
    <row r="314" customFormat="false" ht="12.75" hidden="false" customHeight="false" outlineLevel="0" collapsed="false">
      <c r="E314" s="1" t="s">
        <v>43</v>
      </c>
      <c r="F314" s="1" t="s">
        <v>292</v>
      </c>
      <c r="G314" s="1" t="s">
        <v>49</v>
      </c>
      <c r="H314" s="4" t="s">
        <v>50</v>
      </c>
      <c r="I314" s="2" t="str">
        <f aca="false">$B$280</f>
        <v>OMOP Surgery Episode</v>
      </c>
      <c r="K314" s="1" t="s">
        <v>41</v>
      </c>
    </row>
    <row r="315" customFormat="false" ht="12.75" hidden="false" customHeight="false" outlineLevel="0" collapsed="false">
      <c r="E315" s="1" t="s">
        <v>53</v>
      </c>
      <c r="F315" s="1" t="s">
        <v>16</v>
      </c>
      <c r="G315" s="1" t="s">
        <v>17</v>
      </c>
      <c r="H315" s="3" t="s">
        <v>17</v>
      </c>
      <c r="I315" s="4" t="s">
        <v>58</v>
      </c>
      <c r="J315" s="1" t="s">
        <v>56</v>
      </c>
      <c r="L315" s="1" t="s">
        <v>59</v>
      </c>
    </row>
    <row r="316" customFormat="false" ht="12.75" hidden="false" customHeight="false" outlineLevel="0" collapsed="false">
      <c r="C316" s="1" t="s">
        <v>409</v>
      </c>
      <c r="E316" s="1" t="s">
        <v>363</v>
      </c>
      <c r="F316" s="1" t="s">
        <v>21</v>
      </c>
      <c r="G316" s="1" t="s">
        <v>386</v>
      </c>
      <c r="H316" s="8" t="s">
        <v>414</v>
      </c>
      <c r="K316" s="1" t="s">
        <v>41</v>
      </c>
    </row>
    <row r="317" customFormat="false" ht="12.75" hidden="false" customHeight="false" outlineLevel="0" collapsed="false">
      <c r="E317" s="1" t="s">
        <v>366</v>
      </c>
      <c r="F317" s="1" t="s">
        <v>16</v>
      </c>
      <c r="G317" s="1" t="s">
        <v>17</v>
      </c>
      <c r="H317" s="3" t="s">
        <v>17</v>
      </c>
      <c r="I317" s="4" t="s">
        <v>404</v>
      </c>
      <c r="J317" s="1" t="s">
        <v>112</v>
      </c>
      <c r="L317" s="1" t="s">
        <v>405</v>
      </c>
    </row>
    <row r="318" customFormat="false" ht="25.5" hidden="false" customHeight="false" outlineLevel="0" collapsed="false">
      <c r="B318" s="4" t="s">
        <v>415</v>
      </c>
      <c r="D318" s="1" t="s">
        <v>14</v>
      </c>
      <c r="E318" s="1" t="s">
        <v>110</v>
      </c>
      <c r="F318" s="1" t="s">
        <v>277</v>
      </c>
      <c r="G318" s="1" t="s">
        <v>49</v>
      </c>
      <c r="H318" s="4" t="s">
        <v>50</v>
      </c>
      <c r="K318" s="1" t="s">
        <v>41</v>
      </c>
    </row>
    <row r="319" customFormat="false" ht="12.75" hidden="false" customHeight="false" outlineLevel="0" collapsed="false">
      <c r="E319" s="1" t="s">
        <v>111</v>
      </c>
      <c r="F319" s="1" t="s">
        <v>16</v>
      </c>
      <c r="G319" s="1" t="s">
        <v>17</v>
      </c>
      <c r="H319" s="3" t="s">
        <v>17</v>
      </c>
      <c r="I319" s="4" t="s">
        <v>374</v>
      </c>
      <c r="J319" s="1" t="s">
        <v>112</v>
      </c>
      <c r="L319" s="1" t="s">
        <v>375</v>
      </c>
    </row>
    <row r="320" customFormat="false" ht="12.75" hidden="false" customHeight="false" outlineLevel="0" collapsed="false">
      <c r="E320" s="1" t="s">
        <v>20</v>
      </c>
      <c r="F320" s="1" t="s">
        <v>123</v>
      </c>
      <c r="G320" s="1" t="s">
        <v>17</v>
      </c>
      <c r="H320" s="3" t="s">
        <v>17</v>
      </c>
      <c r="I320" s="4" t="s">
        <v>285</v>
      </c>
      <c r="K320" s="1" t="s">
        <v>125</v>
      </c>
    </row>
    <row r="321" customFormat="false" ht="12.75" hidden="false" customHeight="false" outlineLevel="0" collapsed="false">
      <c r="E321" s="1" t="s">
        <v>189</v>
      </c>
      <c r="F321" s="1" t="s">
        <v>292</v>
      </c>
      <c r="G321" s="1" t="s">
        <v>49</v>
      </c>
      <c r="H321" s="4" t="s">
        <v>50</v>
      </c>
      <c r="I321" s="2" t="str">
        <f aca="false">$B$280</f>
        <v>OMOP Surgery Episode</v>
      </c>
      <c r="K321" s="1" t="s">
        <v>41</v>
      </c>
    </row>
    <row r="322" customFormat="false" ht="12.75" hidden="false" customHeight="false" outlineLevel="0" collapsed="false">
      <c r="E322" s="1" t="s">
        <v>190</v>
      </c>
      <c r="F322" s="1" t="s">
        <v>16</v>
      </c>
      <c r="G322" s="1" t="s">
        <v>17</v>
      </c>
      <c r="H322" s="3" t="s">
        <v>17</v>
      </c>
      <c r="I322" s="4" t="s">
        <v>58</v>
      </c>
      <c r="J322" s="1" t="s">
        <v>56</v>
      </c>
      <c r="L322" s="1" t="s">
        <v>59</v>
      </c>
    </row>
    <row r="323" customFormat="false" ht="12.75" hidden="false" customHeight="false" outlineLevel="0" collapsed="false">
      <c r="C323" s="1" t="s">
        <v>416</v>
      </c>
      <c r="E323" s="1" t="s">
        <v>115</v>
      </c>
      <c r="F323" s="1" t="s">
        <v>141</v>
      </c>
      <c r="G323" s="1" t="s">
        <v>386</v>
      </c>
      <c r="H323" s="8" t="s">
        <v>417</v>
      </c>
      <c r="J323" s="1" t="s">
        <v>418</v>
      </c>
      <c r="K323" s="1" t="s">
        <v>41</v>
      </c>
    </row>
    <row r="324" customFormat="false" ht="12.75" hidden="false" customHeight="false" outlineLevel="0" collapsed="false">
      <c r="C324" s="1" t="s">
        <v>419</v>
      </c>
      <c r="E324" s="1" t="s">
        <v>118</v>
      </c>
      <c r="F324" s="1" t="s">
        <v>21</v>
      </c>
      <c r="G324" s="1" t="s">
        <v>386</v>
      </c>
      <c r="H324" s="8" t="s">
        <v>417</v>
      </c>
    </row>
    <row r="325" customFormat="false" ht="25.5" hidden="false" customHeight="false" outlineLevel="0" collapsed="false">
      <c r="B325" s="4" t="s">
        <v>420</v>
      </c>
      <c r="D325" s="1" t="s">
        <v>14</v>
      </c>
      <c r="E325" s="1" t="s">
        <v>110</v>
      </c>
      <c r="F325" s="1" t="s">
        <v>277</v>
      </c>
      <c r="G325" s="1" t="s">
        <v>49</v>
      </c>
      <c r="H325" s="4" t="s">
        <v>50</v>
      </c>
      <c r="K325" s="1" t="s">
        <v>41</v>
      </c>
    </row>
    <row r="326" customFormat="false" ht="12.75" hidden="false" customHeight="false" outlineLevel="0" collapsed="false">
      <c r="E326" s="1" t="s">
        <v>111</v>
      </c>
      <c r="F326" s="1" t="s">
        <v>16</v>
      </c>
      <c r="G326" s="1" t="s">
        <v>17</v>
      </c>
      <c r="H326" s="3" t="s">
        <v>17</v>
      </c>
      <c r="I326" s="4" t="s">
        <v>421</v>
      </c>
      <c r="J326" s="1" t="s">
        <v>112</v>
      </c>
      <c r="L326" s="1" t="s">
        <v>422</v>
      </c>
    </row>
    <row r="327" customFormat="false" ht="12.75" hidden="false" customHeight="false" outlineLevel="0" collapsed="false">
      <c r="E327" s="1" t="s">
        <v>20</v>
      </c>
      <c r="F327" s="1" t="s">
        <v>123</v>
      </c>
      <c r="G327" s="1" t="s">
        <v>17</v>
      </c>
      <c r="H327" s="3" t="s">
        <v>17</v>
      </c>
      <c r="I327" s="4" t="s">
        <v>285</v>
      </c>
      <c r="K327" s="1" t="s">
        <v>125</v>
      </c>
    </row>
    <row r="328" customFormat="false" ht="12.75" hidden="false" customHeight="false" outlineLevel="0" collapsed="false">
      <c r="E328" s="1" t="s">
        <v>189</v>
      </c>
      <c r="F328" s="1" t="s">
        <v>292</v>
      </c>
      <c r="G328" s="1" t="s">
        <v>49</v>
      </c>
      <c r="H328" s="4" t="s">
        <v>50</v>
      </c>
      <c r="I328" s="2" t="str">
        <f aca="false">$B$280</f>
        <v>OMOP Surgery Episode</v>
      </c>
      <c r="K328" s="1" t="s">
        <v>41</v>
      </c>
    </row>
    <row r="329" customFormat="false" ht="12.75" hidden="false" customHeight="false" outlineLevel="0" collapsed="false">
      <c r="E329" s="1" t="s">
        <v>190</v>
      </c>
      <c r="F329" s="1" t="s">
        <v>16</v>
      </c>
      <c r="G329" s="1" t="s">
        <v>17</v>
      </c>
      <c r="H329" s="3" t="s">
        <v>17</v>
      </c>
      <c r="I329" s="4" t="s">
        <v>58</v>
      </c>
      <c r="J329" s="1" t="s">
        <v>56</v>
      </c>
      <c r="L329" s="1" t="s">
        <v>59</v>
      </c>
    </row>
    <row r="330" customFormat="false" ht="12.75" hidden="false" customHeight="false" outlineLevel="0" collapsed="false">
      <c r="C330" s="1" t="s">
        <v>423</v>
      </c>
      <c r="E330" s="1" t="s">
        <v>115</v>
      </c>
      <c r="F330" s="1" t="s">
        <v>89</v>
      </c>
      <c r="G330" s="1" t="s">
        <v>386</v>
      </c>
      <c r="H330" s="8" t="s">
        <v>424</v>
      </c>
      <c r="K330" s="1" t="s">
        <v>41</v>
      </c>
    </row>
    <row r="331" customFormat="false" ht="12.75" hidden="false" customHeight="false" outlineLevel="0" collapsed="false">
      <c r="C331" s="1" t="s">
        <v>425</v>
      </c>
      <c r="E331" s="1" t="s">
        <v>118</v>
      </c>
      <c r="F331" s="1" t="s">
        <v>21</v>
      </c>
      <c r="G331" s="1" t="s">
        <v>386</v>
      </c>
      <c r="H331" s="8" t="s">
        <v>424</v>
      </c>
    </row>
    <row r="332" customFormat="false" ht="25.5" hidden="false" customHeight="false" outlineLevel="0" collapsed="false">
      <c r="B332" s="4" t="s">
        <v>426</v>
      </c>
      <c r="D332" s="1" t="s">
        <v>14</v>
      </c>
      <c r="E332" s="1" t="s">
        <v>110</v>
      </c>
      <c r="F332" s="1" t="s">
        <v>277</v>
      </c>
      <c r="G332" s="1" t="s">
        <v>49</v>
      </c>
      <c r="H332" s="4" t="s">
        <v>50</v>
      </c>
      <c r="K332" s="1" t="s">
        <v>41</v>
      </c>
    </row>
    <row r="333" customFormat="false" ht="12.75" hidden="false" customHeight="false" outlineLevel="0" collapsed="false">
      <c r="E333" s="1" t="s">
        <v>111</v>
      </c>
      <c r="F333" s="1" t="s">
        <v>16</v>
      </c>
      <c r="G333" s="1" t="s">
        <v>17</v>
      </c>
      <c r="H333" s="3" t="s">
        <v>17</v>
      </c>
      <c r="I333" s="4" t="s">
        <v>427</v>
      </c>
      <c r="J333" s="1" t="s">
        <v>112</v>
      </c>
      <c r="L333" s="1" t="s">
        <v>428</v>
      </c>
    </row>
    <row r="334" customFormat="false" ht="12.75" hidden="false" customHeight="false" outlineLevel="0" collapsed="false">
      <c r="E334" s="1" t="s">
        <v>20</v>
      </c>
      <c r="F334" s="1" t="s">
        <v>123</v>
      </c>
      <c r="G334" s="1" t="s">
        <v>17</v>
      </c>
      <c r="H334" s="3" t="s">
        <v>17</v>
      </c>
      <c r="I334" s="4" t="s">
        <v>285</v>
      </c>
      <c r="K334" s="1" t="s">
        <v>125</v>
      </c>
    </row>
    <row r="335" customFormat="false" ht="12.75" hidden="false" customHeight="false" outlineLevel="0" collapsed="false">
      <c r="E335" s="1" t="s">
        <v>189</v>
      </c>
      <c r="F335" s="1" t="s">
        <v>292</v>
      </c>
      <c r="G335" s="1" t="s">
        <v>49</v>
      </c>
      <c r="H335" s="4" t="s">
        <v>50</v>
      </c>
      <c r="I335" s="2" t="str">
        <f aca="false">$B$280</f>
        <v>OMOP Surgery Episode</v>
      </c>
      <c r="K335" s="1" t="s">
        <v>41</v>
      </c>
    </row>
    <row r="336" customFormat="false" ht="12.75" hidden="false" customHeight="false" outlineLevel="0" collapsed="false">
      <c r="E336" s="1" t="s">
        <v>190</v>
      </c>
      <c r="F336" s="1" t="s">
        <v>16</v>
      </c>
      <c r="G336" s="1" t="s">
        <v>17</v>
      </c>
      <c r="H336" s="3" t="s">
        <v>17</v>
      </c>
      <c r="I336" s="4" t="s">
        <v>58</v>
      </c>
      <c r="J336" s="1" t="s">
        <v>56</v>
      </c>
      <c r="L336" s="1" t="s">
        <v>59</v>
      </c>
    </row>
    <row r="337" customFormat="false" ht="12.75" hidden="false" customHeight="false" outlineLevel="0" collapsed="false">
      <c r="C337" s="1" t="s">
        <v>429</v>
      </c>
      <c r="E337" s="1" t="s">
        <v>115</v>
      </c>
      <c r="F337" s="1" t="s">
        <v>89</v>
      </c>
      <c r="G337" s="1" t="s">
        <v>386</v>
      </c>
      <c r="H337" s="8" t="s">
        <v>430</v>
      </c>
      <c r="K337" s="1" t="s">
        <v>41</v>
      </c>
    </row>
    <row r="338" customFormat="false" ht="12.75" hidden="false" customHeight="false" outlineLevel="0" collapsed="false">
      <c r="C338" s="1" t="s">
        <v>431</v>
      </c>
      <c r="E338" s="1" t="s">
        <v>118</v>
      </c>
      <c r="F338" s="1" t="s">
        <v>21</v>
      </c>
      <c r="G338" s="1" t="s">
        <v>386</v>
      </c>
      <c r="H338" s="8" t="s">
        <v>430</v>
      </c>
    </row>
    <row r="339" customFormat="false" ht="36.9" hidden="false" customHeight="false" outlineLevel="0" collapsed="false">
      <c r="B339" s="4" t="s">
        <v>432</v>
      </c>
      <c r="D339" s="1" t="s">
        <v>14</v>
      </c>
      <c r="E339" s="1" t="s">
        <v>110</v>
      </c>
      <c r="F339" s="1" t="s">
        <v>277</v>
      </c>
      <c r="G339" s="1" t="s">
        <v>49</v>
      </c>
      <c r="H339" s="4" t="s">
        <v>50</v>
      </c>
      <c r="K339" s="1" t="s">
        <v>41</v>
      </c>
    </row>
    <row r="340" customFormat="false" ht="12.75" hidden="false" customHeight="false" outlineLevel="0" collapsed="false">
      <c r="E340" s="1" t="s">
        <v>111</v>
      </c>
      <c r="F340" s="1" t="s">
        <v>16</v>
      </c>
      <c r="G340" s="1" t="s">
        <v>17</v>
      </c>
      <c r="H340" s="3" t="s">
        <v>17</v>
      </c>
      <c r="I340" s="4" t="s">
        <v>433</v>
      </c>
      <c r="J340" s="1" t="s">
        <v>112</v>
      </c>
      <c r="L340" s="1" t="s">
        <v>434</v>
      </c>
    </row>
    <row r="341" customFormat="false" ht="12.75" hidden="false" customHeight="false" outlineLevel="0" collapsed="false">
      <c r="E341" s="1" t="s">
        <v>20</v>
      </c>
      <c r="F341" s="1" t="s">
        <v>123</v>
      </c>
      <c r="G341" s="1" t="s">
        <v>17</v>
      </c>
      <c r="H341" s="3" t="s">
        <v>17</v>
      </c>
      <c r="I341" s="4" t="s">
        <v>285</v>
      </c>
      <c r="K341" s="1" t="s">
        <v>125</v>
      </c>
    </row>
    <row r="342" customFormat="false" ht="12.75" hidden="false" customHeight="false" outlineLevel="0" collapsed="false">
      <c r="E342" s="1" t="s">
        <v>189</v>
      </c>
      <c r="F342" s="1" t="s">
        <v>292</v>
      </c>
      <c r="G342" s="1" t="s">
        <v>49</v>
      </c>
      <c r="H342" s="4" t="s">
        <v>50</v>
      </c>
      <c r="I342" s="2" t="str">
        <f aca="false">$B$280</f>
        <v>OMOP Surgery Episode</v>
      </c>
      <c r="K342" s="1" t="s">
        <v>41</v>
      </c>
    </row>
    <row r="343" customFormat="false" ht="12.75" hidden="false" customHeight="false" outlineLevel="0" collapsed="false">
      <c r="E343" s="1" t="s">
        <v>190</v>
      </c>
      <c r="F343" s="1" t="s">
        <v>16</v>
      </c>
      <c r="G343" s="1" t="s">
        <v>17</v>
      </c>
      <c r="H343" s="3" t="s">
        <v>17</v>
      </c>
      <c r="I343" s="4" t="s">
        <v>58</v>
      </c>
      <c r="J343" s="1" t="s">
        <v>56</v>
      </c>
      <c r="L343" s="1" t="s">
        <v>59</v>
      </c>
    </row>
    <row r="344" customFormat="false" ht="12.75" hidden="false" customHeight="false" outlineLevel="0" collapsed="false">
      <c r="C344" s="1" t="s">
        <v>435</v>
      </c>
      <c r="E344" s="1" t="s">
        <v>115</v>
      </c>
      <c r="F344" s="1" t="s">
        <v>89</v>
      </c>
      <c r="G344" s="1" t="s">
        <v>386</v>
      </c>
      <c r="H344" s="8" t="s">
        <v>436</v>
      </c>
      <c r="K344" s="1" t="s">
        <v>41</v>
      </c>
    </row>
    <row r="345" customFormat="false" ht="12.75" hidden="false" customHeight="false" outlineLevel="0" collapsed="false">
      <c r="C345" s="1" t="s">
        <v>437</v>
      </c>
      <c r="E345" s="1" t="s">
        <v>118</v>
      </c>
      <c r="F345" s="1" t="s">
        <v>21</v>
      </c>
      <c r="G345" s="1" t="s">
        <v>386</v>
      </c>
      <c r="H345" s="8" t="s">
        <v>436</v>
      </c>
    </row>
    <row r="346" customFormat="false" ht="36.9" hidden="false" customHeight="false" outlineLevel="0" collapsed="false">
      <c r="B346" s="4" t="s">
        <v>438</v>
      </c>
      <c r="D346" s="1" t="s">
        <v>14</v>
      </c>
      <c r="E346" s="1" t="s">
        <v>110</v>
      </c>
      <c r="F346" s="1" t="s">
        <v>277</v>
      </c>
      <c r="G346" s="1" t="s">
        <v>49</v>
      </c>
      <c r="H346" s="4" t="s">
        <v>50</v>
      </c>
      <c r="K346" s="1" t="s">
        <v>41</v>
      </c>
    </row>
    <row r="347" customFormat="false" ht="12.75" hidden="false" customHeight="false" outlineLevel="0" collapsed="false">
      <c r="E347" s="1" t="s">
        <v>111</v>
      </c>
      <c r="F347" s="1" t="s">
        <v>16</v>
      </c>
      <c r="G347" s="1" t="s">
        <v>17</v>
      </c>
      <c r="H347" s="3" t="s">
        <v>17</v>
      </c>
      <c r="I347" s="4" t="s">
        <v>439</v>
      </c>
      <c r="J347" s="1" t="s">
        <v>112</v>
      </c>
      <c r="L347" s="1" t="s">
        <v>440</v>
      </c>
    </row>
    <row r="348" customFormat="false" ht="12.75" hidden="false" customHeight="false" outlineLevel="0" collapsed="false">
      <c r="E348" s="1" t="s">
        <v>20</v>
      </c>
      <c r="F348" s="1" t="s">
        <v>123</v>
      </c>
      <c r="G348" s="1" t="s">
        <v>17</v>
      </c>
      <c r="H348" s="3" t="s">
        <v>17</v>
      </c>
      <c r="I348" s="4" t="s">
        <v>285</v>
      </c>
      <c r="K348" s="1" t="s">
        <v>125</v>
      </c>
    </row>
    <row r="349" customFormat="false" ht="12.75" hidden="false" customHeight="false" outlineLevel="0" collapsed="false">
      <c r="E349" s="1" t="s">
        <v>189</v>
      </c>
      <c r="F349" s="1" t="s">
        <v>292</v>
      </c>
      <c r="G349" s="1" t="s">
        <v>49</v>
      </c>
      <c r="H349" s="4" t="s">
        <v>50</v>
      </c>
      <c r="I349" s="2" t="str">
        <f aca="false">$B$280</f>
        <v>OMOP Surgery Episode</v>
      </c>
      <c r="K349" s="1" t="s">
        <v>41</v>
      </c>
    </row>
    <row r="350" customFormat="false" ht="12.75" hidden="false" customHeight="false" outlineLevel="0" collapsed="false">
      <c r="E350" s="1" t="s">
        <v>190</v>
      </c>
      <c r="F350" s="1" t="s">
        <v>16</v>
      </c>
      <c r="G350" s="1" t="s">
        <v>17</v>
      </c>
      <c r="H350" s="3" t="s">
        <v>17</v>
      </c>
      <c r="I350" s="4" t="s">
        <v>58</v>
      </c>
      <c r="J350" s="1" t="s">
        <v>56</v>
      </c>
      <c r="L350" s="1" t="s">
        <v>59</v>
      </c>
    </row>
    <row r="351" customFormat="false" ht="12.75" hidden="false" customHeight="false" outlineLevel="0" collapsed="false">
      <c r="C351" s="1" t="s">
        <v>441</v>
      </c>
      <c r="E351" s="1" t="s">
        <v>115</v>
      </c>
      <c r="F351" s="1" t="s">
        <v>89</v>
      </c>
      <c r="G351" s="1" t="s">
        <v>386</v>
      </c>
      <c r="H351" s="8" t="s">
        <v>442</v>
      </c>
      <c r="K351" s="1" t="s">
        <v>41</v>
      </c>
    </row>
    <row r="352" customFormat="false" ht="12.75" hidden="false" customHeight="false" outlineLevel="0" collapsed="false">
      <c r="C352" s="1" t="s">
        <v>443</v>
      </c>
      <c r="E352" s="1" t="s">
        <v>118</v>
      </c>
      <c r="F352" s="1" t="s">
        <v>21</v>
      </c>
      <c r="G352" s="1" t="s">
        <v>386</v>
      </c>
      <c r="H352" s="8" t="s">
        <v>442</v>
      </c>
    </row>
    <row r="353" customFormat="false" ht="25.5" hidden="false" customHeight="false" outlineLevel="0" collapsed="false">
      <c r="B353" s="4" t="s">
        <v>444</v>
      </c>
      <c r="D353" s="1" t="s">
        <v>14</v>
      </c>
      <c r="E353" s="1" t="s">
        <v>110</v>
      </c>
      <c r="F353" s="1" t="s">
        <v>277</v>
      </c>
      <c r="G353" s="1" t="s">
        <v>49</v>
      </c>
      <c r="H353" s="4" t="s">
        <v>50</v>
      </c>
      <c r="K353" s="1" t="s">
        <v>41</v>
      </c>
    </row>
    <row r="354" customFormat="false" ht="12.75" hidden="false" customHeight="false" outlineLevel="0" collapsed="false">
      <c r="E354" s="1" t="s">
        <v>111</v>
      </c>
      <c r="F354" s="1" t="s">
        <v>16</v>
      </c>
      <c r="G354" s="1" t="s">
        <v>17</v>
      </c>
      <c r="H354" s="3" t="s">
        <v>17</v>
      </c>
      <c r="I354" s="4" t="s">
        <v>445</v>
      </c>
      <c r="J354" s="1" t="s">
        <v>112</v>
      </c>
      <c r="L354" s="1" t="s">
        <v>446</v>
      </c>
    </row>
    <row r="355" customFormat="false" ht="12.75" hidden="false" customHeight="false" outlineLevel="0" collapsed="false">
      <c r="E355" s="1" t="s">
        <v>20</v>
      </c>
      <c r="F355" s="1" t="s">
        <v>123</v>
      </c>
      <c r="G355" s="1" t="s">
        <v>17</v>
      </c>
      <c r="H355" s="3" t="s">
        <v>17</v>
      </c>
      <c r="I355" s="4" t="s">
        <v>285</v>
      </c>
      <c r="K355" s="1" t="s">
        <v>125</v>
      </c>
    </row>
    <row r="356" customFormat="false" ht="12.75" hidden="false" customHeight="false" outlineLevel="0" collapsed="false">
      <c r="E356" s="1" t="s">
        <v>189</v>
      </c>
      <c r="F356" s="1" t="s">
        <v>292</v>
      </c>
      <c r="G356" s="1" t="s">
        <v>49</v>
      </c>
      <c r="H356" s="4" t="s">
        <v>50</v>
      </c>
      <c r="I356" s="2" t="str">
        <f aca="false">$B$280</f>
        <v>OMOP Surgery Episode</v>
      </c>
      <c r="K356" s="1" t="s">
        <v>41</v>
      </c>
    </row>
    <row r="357" customFormat="false" ht="12.75" hidden="false" customHeight="false" outlineLevel="0" collapsed="false">
      <c r="E357" s="1" t="s">
        <v>190</v>
      </c>
      <c r="F357" s="1" t="s">
        <v>16</v>
      </c>
      <c r="G357" s="1" t="s">
        <v>17</v>
      </c>
      <c r="H357" s="3" t="s">
        <v>17</v>
      </c>
      <c r="I357" s="4" t="s">
        <v>58</v>
      </c>
      <c r="J357" s="1" t="s">
        <v>56</v>
      </c>
      <c r="L357" s="1" t="s">
        <v>59</v>
      </c>
    </row>
    <row r="358" customFormat="false" ht="12.75" hidden="false" customHeight="false" outlineLevel="0" collapsed="false">
      <c r="C358" s="1" t="s">
        <v>447</v>
      </c>
      <c r="E358" s="1" t="s">
        <v>115</v>
      </c>
      <c r="F358" s="1" t="s">
        <v>89</v>
      </c>
      <c r="G358" s="1" t="s">
        <v>386</v>
      </c>
      <c r="H358" s="8" t="s">
        <v>448</v>
      </c>
      <c r="K358" s="1" t="s">
        <v>41</v>
      </c>
    </row>
    <row r="359" customFormat="false" ht="12.75" hidden="false" customHeight="false" outlineLevel="0" collapsed="false">
      <c r="C359" s="1" t="s">
        <v>449</v>
      </c>
      <c r="E359" s="1" t="s">
        <v>118</v>
      </c>
      <c r="F359" s="1" t="s">
        <v>21</v>
      </c>
      <c r="G359" s="1" t="s">
        <v>386</v>
      </c>
      <c r="H359" s="8" t="s">
        <v>448</v>
      </c>
    </row>
    <row r="360" customFormat="false" ht="36.9" hidden="false" customHeight="false" outlineLevel="0" collapsed="false">
      <c r="A360" s="3" t="s">
        <v>450</v>
      </c>
      <c r="B360" s="4" t="s">
        <v>451</v>
      </c>
      <c r="D360" s="1" t="s">
        <v>14</v>
      </c>
      <c r="E360" s="1" t="s">
        <v>110</v>
      </c>
      <c r="F360" s="1" t="s">
        <v>277</v>
      </c>
      <c r="G360" s="1" t="s">
        <v>49</v>
      </c>
      <c r="H360" s="4" t="s">
        <v>50</v>
      </c>
      <c r="K360" s="1" t="s">
        <v>41</v>
      </c>
    </row>
    <row r="361" customFormat="false" ht="12.75" hidden="false" customHeight="false" outlineLevel="0" collapsed="false">
      <c r="E361" s="1" t="s">
        <v>111</v>
      </c>
      <c r="F361" s="1" t="s">
        <v>16</v>
      </c>
      <c r="G361" s="1" t="s">
        <v>17</v>
      </c>
      <c r="H361" s="3" t="s">
        <v>17</v>
      </c>
      <c r="I361" s="4" t="s">
        <v>452</v>
      </c>
      <c r="J361" s="1" t="s">
        <v>112</v>
      </c>
      <c r="L361" s="1" t="s">
        <v>453</v>
      </c>
    </row>
    <row r="362" customFormat="false" ht="12.75" hidden="false" customHeight="false" outlineLevel="0" collapsed="false">
      <c r="E362" s="1" t="s">
        <v>20</v>
      </c>
      <c r="F362" s="1" t="s">
        <v>123</v>
      </c>
      <c r="G362" s="1" t="s">
        <v>17</v>
      </c>
      <c r="H362" s="3" t="s">
        <v>17</v>
      </c>
      <c r="I362" s="4" t="s">
        <v>285</v>
      </c>
      <c r="K362" s="1" t="s">
        <v>125</v>
      </c>
    </row>
    <row r="363" customFormat="false" ht="12.75" hidden="false" customHeight="false" outlineLevel="0" collapsed="false">
      <c r="E363" s="1" t="s">
        <v>189</v>
      </c>
      <c r="F363" s="1" t="s">
        <v>21</v>
      </c>
      <c r="G363" s="1" t="s">
        <v>17</v>
      </c>
      <c r="H363" s="4" t="s">
        <v>17</v>
      </c>
      <c r="I363" s="4" t="s">
        <v>392</v>
      </c>
    </row>
    <row r="364" customFormat="false" ht="12.75" hidden="false" customHeight="false" outlineLevel="0" collapsed="false">
      <c r="E364" s="1" t="s">
        <v>190</v>
      </c>
      <c r="F364" s="1" t="s">
        <v>16</v>
      </c>
      <c r="G364" s="1" t="s">
        <v>17</v>
      </c>
      <c r="H364" s="3" t="s">
        <v>17</v>
      </c>
      <c r="I364" s="4" t="s">
        <v>58</v>
      </c>
      <c r="J364" s="1" t="s">
        <v>56</v>
      </c>
      <c r="L364" s="1" t="s">
        <v>59</v>
      </c>
    </row>
    <row r="365" customFormat="false" ht="12.75" hidden="false" customHeight="false" outlineLevel="0" collapsed="false">
      <c r="C365" s="1" t="s">
        <v>454</v>
      </c>
      <c r="E365" s="1" t="s">
        <v>115</v>
      </c>
      <c r="F365" s="1" t="s">
        <v>279</v>
      </c>
      <c r="G365" s="1" t="s">
        <v>386</v>
      </c>
      <c r="H365" s="8" t="s">
        <v>455</v>
      </c>
    </row>
    <row r="366" customFormat="false" ht="12.75" hidden="false" customHeight="false" outlineLevel="0" collapsed="false">
      <c r="C366" s="1" t="s">
        <v>456</v>
      </c>
      <c r="E366" s="1" t="s">
        <v>118</v>
      </c>
      <c r="F366" s="1" t="s">
        <v>283</v>
      </c>
      <c r="G366" s="1" t="s">
        <v>17</v>
      </c>
      <c r="H366" s="8" t="s">
        <v>17</v>
      </c>
    </row>
    <row r="367" customFormat="false" ht="12.75" hidden="false" customHeight="false" outlineLevel="0" collapsed="false">
      <c r="E367" s="1" t="s">
        <v>216</v>
      </c>
      <c r="F367" s="1" t="s">
        <v>16</v>
      </c>
      <c r="G367" s="1" t="s">
        <v>17</v>
      </c>
      <c r="H367" s="8" t="s">
        <v>17</v>
      </c>
      <c r="I367" s="4" t="s">
        <v>457</v>
      </c>
      <c r="J367" s="1" t="s">
        <v>112</v>
      </c>
      <c r="L367" s="1" t="s">
        <v>458</v>
      </c>
    </row>
    <row r="368" customFormat="false" ht="36.9" hidden="false" customHeight="false" outlineLevel="0" collapsed="false">
      <c r="A368" s="3" t="s">
        <v>459</v>
      </c>
      <c r="B368" s="4" t="s">
        <v>460</v>
      </c>
      <c r="D368" s="1" t="s">
        <v>14</v>
      </c>
      <c r="E368" s="1" t="s">
        <v>110</v>
      </c>
      <c r="F368" s="1" t="s">
        <v>277</v>
      </c>
      <c r="G368" s="1" t="s">
        <v>49</v>
      </c>
      <c r="H368" s="4" t="s">
        <v>50</v>
      </c>
      <c r="K368" s="1" t="s">
        <v>41</v>
      </c>
    </row>
    <row r="369" customFormat="false" ht="12.75" hidden="false" customHeight="false" outlineLevel="0" collapsed="false">
      <c r="E369" s="1" t="s">
        <v>111</v>
      </c>
      <c r="F369" s="1" t="s">
        <v>16</v>
      </c>
      <c r="G369" s="1" t="s">
        <v>17</v>
      </c>
      <c r="H369" s="3" t="s">
        <v>17</v>
      </c>
      <c r="I369" s="4" t="s">
        <v>452</v>
      </c>
      <c r="J369" s="1" t="s">
        <v>112</v>
      </c>
      <c r="L369" s="1" t="s">
        <v>453</v>
      </c>
    </row>
    <row r="370" customFormat="false" ht="12.75" hidden="false" customHeight="false" outlineLevel="0" collapsed="false">
      <c r="E370" s="1" t="s">
        <v>20</v>
      </c>
      <c r="F370" s="1" t="s">
        <v>123</v>
      </c>
      <c r="G370" s="1" t="s">
        <v>17</v>
      </c>
      <c r="H370" s="3" t="s">
        <v>17</v>
      </c>
      <c r="I370" s="4" t="s">
        <v>285</v>
      </c>
      <c r="K370" s="1" t="s">
        <v>125</v>
      </c>
    </row>
    <row r="371" customFormat="false" ht="12.75" hidden="false" customHeight="false" outlineLevel="0" collapsed="false">
      <c r="E371" s="1" t="s">
        <v>189</v>
      </c>
      <c r="F371" s="1" t="s">
        <v>21</v>
      </c>
      <c r="G371" s="1" t="s">
        <v>17</v>
      </c>
      <c r="H371" s="4" t="s">
        <v>17</v>
      </c>
      <c r="I371" s="4" t="s">
        <v>392</v>
      </c>
    </row>
    <row r="372" customFormat="false" ht="12.75" hidden="false" customHeight="false" outlineLevel="0" collapsed="false">
      <c r="E372" s="1" t="s">
        <v>190</v>
      </c>
      <c r="F372" s="1" t="s">
        <v>16</v>
      </c>
      <c r="G372" s="1" t="s">
        <v>17</v>
      </c>
      <c r="H372" s="3" t="s">
        <v>17</v>
      </c>
      <c r="I372" s="4" t="s">
        <v>58</v>
      </c>
      <c r="J372" s="1" t="s">
        <v>56</v>
      </c>
      <c r="L372" s="1" t="s">
        <v>59</v>
      </c>
    </row>
    <row r="373" customFormat="false" ht="12.75" hidden="false" customHeight="false" outlineLevel="0" collapsed="false">
      <c r="C373" s="1" t="s">
        <v>461</v>
      </c>
      <c r="E373" s="1" t="s">
        <v>115</v>
      </c>
      <c r="F373" s="1" t="s">
        <v>279</v>
      </c>
      <c r="G373" s="1" t="s">
        <v>386</v>
      </c>
      <c r="H373" s="8" t="s">
        <v>462</v>
      </c>
    </row>
    <row r="374" customFormat="false" ht="12.75" hidden="false" customHeight="false" outlineLevel="0" collapsed="false">
      <c r="C374" s="1" t="s">
        <v>463</v>
      </c>
      <c r="E374" s="1" t="s">
        <v>118</v>
      </c>
      <c r="F374" s="1" t="s">
        <v>283</v>
      </c>
      <c r="G374" s="1" t="s">
        <v>17</v>
      </c>
      <c r="H374" s="8" t="s">
        <v>17</v>
      </c>
    </row>
    <row r="375" customFormat="false" ht="12.75" hidden="false" customHeight="false" outlineLevel="0" collapsed="false">
      <c r="E375" s="1" t="s">
        <v>216</v>
      </c>
      <c r="F375" s="1" t="s">
        <v>16</v>
      </c>
      <c r="G375" s="1" t="s">
        <v>17</v>
      </c>
      <c r="H375" s="8" t="s">
        <v>17</v>
      </c>
      <c r="I375" s="4" t="s">
        <v>464</v>
      </c>
      <c r="J375" s="1" t="s">
        <v>112</v>
      </c>
      <c r="L375" s="1" t="s">
        <v>465</v>
      </c>
    </row>
    <row r="376" customFormat="false" ht="36.9" hidden="false" customHeight="false" outlineLevel="0" collapsed="false">
      <c r="A376" s="3" t="s">
        <v>466</v>
      </c>
      <c r="B376" s="4" t="s">
        <v>467</v>
      </c>
      <c r="D376" s="1" t="s">
        <v>14</v>
      </c>
      <c r="E376" s="1" t="s">
        <v>110</v>
      </c>
      <c r="F376" s="1" t="s">
        <v>277</v>
      </c>
      <c r="G376" s="1" t="s">
        <v>49</v>
      </c>
      <c r="H376" s="4" t="s">
        <v>50</v>
      </c>
      <c r="K376" s="1" t="s">
        <v>41</v>
      </c>
    </row>
    <row r="377" customFormat="false" ht="12.75" hidden="false" customHeight="false" outlineLevel="0" collapsed="false">
      <c r="E377" s="1" t="s">
        <v>111</v>
      </c>
      <c r="F377" s="1" t="s">
        <v>16</v>
      </c>
      <c r="G377" s="1" t="s">
        <v>17</v>
      </c>
      <c r="H377" s="3" t="s">
        <v>17</v>
      </c>
      <c r="I377" s="4" t="s">
        <v>452</v>
      </c>
      <c r="J377" s="1" t="s">
        <v>112</v>
      </c>
      <c r="L377" s="1" t="s">
        <v>453</v>
      </c>
    </row>
    <row r="378" customFormat="false" ht="12.75" hidden="false" customHeight="false" outlineLevel="0" collapsed="false">
      <c r="E378" s="1" t="s">
        <v>20</v>
      </c>
      <c r="F378" s="1" t="s">
        <v>123</v>
      </c>
      <c r="G378" s="1" t="s">
        <v>17</v>
      </c>
      <c r="H378" s="3" t="s">
        <v>17</v>
      </c>
      <c r="I378" s="4" t="s">
        <v>285</v>
      </c>
      <c r="K378" s="1" t="s">
        <v>125</v>
      </c>
    </row>
    <row r="379" customFormat="false" ht="12.75" hidden="false" customHeight="false" outlineLevel="0" collapsed="false">
      <c r="E379" s="1" t="s">
        <v>189</v>
      </c>
      <c r="F379" s="1" t="s">
        <v>21</v>
      </c>
      <c r="G379" s="1" t="s">
        <v>17</v>
      </c>
      <c r="H379" s="4" t="s">
        <v>17</v>
      </c>
      <c r="I379" s="4" t="s">
        <v>392</v>
      </c>
    </row>
    <row r="380" customFormat="false" ht="12.75" hidden="false" customHeight="false" outlineLevel="0" collapsed="false">
      <c r="E380" s="1" t="s">
        <v>190</v>
      </c>
      <c r="F380" s="1" t="s">
        <v>16</v>
      </c>
      <c r="G380" s="1" t="s">
        <v>17</v>
      </c>
      <c r="H380" s="3" t="s">
        <v>17</v>
      </c>
      <c r="I380" s="4" t="s">
        <v>58</v>
      </c>
      <c r="J380" s="1" t="s">
        <v>56</v>
      </c>
      <c r="L380" s="1" t="s">
        <v>59</v>
      </c>
    </row>
    <row r="381" customFormat="false" ht="12.75" hidden="false" customHeight="false" outlineLevel="0" collapsed="false">
      <c r="C381" s="1" t="s">
        <v>468</v>
      </c>
      <c r="E381" s="1" t="s">
        <v>115</v>
      </c>
      <c r="F381" s="1" t="s">
        <v>279</v>
      </c>
      <c r="G381" s="1" t="s">
        <v>386</v>
      </c>
      <c r="H381" s="8" t="s">
        <v>469</v>
      </c>
    </row>
    <row r="382" customFormat="false" ht="12.75" hidden="false" customHeight="false" outlineLevel="0" collapsed="false">
      <c r="C382" s="1" t="s">
        <v>470</v>
      </c>
      <c r="E382" s="1" t="s">
        <v>118</v>
      </c>
      <c r="F382" s="1" t="s">
        <v>283</v>
      </c>
      <c r="G382" s="1" t="s">
        <v>17</v>
      </c>
      <c r="H382" s="8" t="s">
        <v>17</v>
      </c>
    </row>
    <row r="383" customFormat="false" ht="12.75" hidden="false" customHeight="false" outlineLevel="0" collapsed="false">
      <c r="E383" s="1" t="s">
        <v>216</v>
      </c>
      <c r="F383" s="1" t="s">
        <v>16</v>
      </c>
      <c r="G383" s="1" t="s">
        <v>17</v>
      </c>
      <c r="H383" s="8" t="s">
        <v>17</v>
      </c>
      <c r="I383" s="4" t="s">
        <v>471</v>
      </c>
      <c r="J383" s="1" t="s">
        <v>112</v>
      </c>
      <c r="L383" s="1" t="s">
        <v>472</v>
      </c>
    </row>
    <row r="384" customFormat="false" ht="25.5" hidden="false" customHeight="false" outlineLevel="0" collapsed="false">
      <c r="A384" s="3" t="s">
        <v>473</v>
      </c>
      <c r="B384" s="4" t="s">
        <v>474</v>
      </c>
      <c r="D384" s="1" t="s">
        <v>64</v>
      </c>
      <c r="E384" s="1" t="s">
        <v>475</v>
      </c>
      <c r="F384" s="1" t="s">
        <v>21</v>
      </c>
      <c r="G384" s="1" t="s">
        <v>45</v>
      </c>
      <c r="H384" s="3" t="s">
        <v>46</v>
      </c>
      <c r="K384" s="1" t="s">
        <v>41</v>
      </c>
    </row>
    <row r="385" customFormat="false" ht="12.75" hidden="false" customHeight="false" outlineLevel="0" collapsed="false">
      <c r="B385" s="1"/>
      <c r="D385" s="1" t="s">
        <v>25</v>
      </c>
      <c r="E385" s="1" t="s">
        <v>476</v>
      </c>
      <c r="F385" s="1" t="s">
        <v>84</v>
      </c>
      <c r="G385" s="1" t="s">
        <v>45</v>
      </c>
      <c r="H385" s="3" t="s">
        <v>46</v>
      </c>
    </row>
    <row r="386" s="1" customFormat="true" ht="12.75" hidden="false" customHeight="false" outlineLevel="0" collapsed="false">
      <c r="E386" s="1" t="s">
        <v>477</v>
      </c>
      <c r="F386" s="1" t="s">
        <v>16</v>
      </c>
      <c r="G386" s="1" t="s">
        <v>17</v>
      </c>
      <c r="H386" s="3" t="s">
        <v>17</v>
      </c>
      <c r="I386" s="4" t="s">
        <v>478</v>
      </c>
      <c r="J386" s="1" t="s">
        <v>112</v>
      </c>
      <c r="L386" s="1" t="s">
        <v>479</v>
      </c>
    </row>
    <row r="387" customFormat="false" ht="12.75" hidden="false" customHeight="false" outlineLevel="0" collapsed="false">
      <c r="C387" s="1" t="s">
        <v>480</v>
      </c>
      <c r="E387" s="1" t="s">
        <v>481</v>
      </c>
      <c r="F387" s="1" t="s">
        <v>123</v>
      </c>
      <c r="G387" s="1" t="s">
        <v>45</v>
      </c>
      <c r="H387" s="8" t="s">
        <v>482</v>
      </c>
      <c r="K387" s="1" t="s">
        <v>125</v>
      </c>
    </row>
    <row r="388" customFormat="false" ht="12.75" hidden="false" customHeight="false" outlineLevel="0" collapsed="false">
      <c r="C388" s="1" t="s">
        <v>483</v>
      </c>
      <c r="E388" s="1" t="s">
        <v>484</v>
      </c>
      <c r="F388" s="1" t="s">
        <v>141</v>
      </c>
      <c r="G388" s="1" t="s">
        <v>45</v>
      </c>
      <c r="H388" s="8" t="s">
        <v>485</v>
      </c>
      <c r="J388" s="1" t="s">
        <v>418</v>
      </c>
    </row>
    <row r="389" customFormat="false" ht="12.75" hidden="false" customHeight="false" outlineLevel="0" collapsed="false">
      <c r="C389" s="1" t="s">
        <v>486</v>
      </c>
      <c r="E389" s="1" t="s">
        <v>487</v>
      </c>
      <c r="F389" s="1" t="s">
        <v>21</v>
      </c>
      <c r="G389" s="1" t="s">
        <v>45</v>
      </c>
      <c r="H389" s="8" t="s">
        <v>485</v>
      </c>
    </row>
    <row r="390" customFormat="false" ht="12.75" hidden="false" customHeight="false" outlineLevel="0" collapsed="false">
      <c r="E390" s="1" t="s">
        <v>488</v>
      </c>
      <c r="F390" s="1" t="s">
        <v>21</v>
      </c>
      <c r="G390" s="1" t="s">
        <v>45</v>
      </c>
      <c r="H390" s="8" t="s">
        <v>46</v>
      </c>
    </row>
    <row r="391" customFormat="false" ht="25.5" hidden="false" customHeight="false" outlineLevel="0" collapsed="false">
      <c r="B391" s="4" t="s">
        <v>489</v>
      </c>
      <c r="D391" s="1" t="s">
        <v>14</v>
      </c>
      <c r="E391" s="1" t="s">
        <v>110</v>
      </c>
      <c r="F391" s="1" t="s">
        <v>84</v>
      </c>
      <c r="G391" s="1" t="s">
        <v>45</v>
      </c>
      <c r="H391" s="3" t="s">
        <v>46</v>
      </c>
      <c r="K391" s="1" t="s">
        <v>41</v>
      </c>
    </row>
    <row r="392" customFormat="false" ht="12.75" hidden="false" customHeight="false" outlineLevel="0" collapsed="false">
      <c r="E392" s="1" t="s">
        <v>111</v>
      </c>
      <c r="F392" s="1" t="s">
        <v>16</v>
      </c>
      <c r="G392" s="1" t="s">
        <v>17</v>
      </c>
      <c r="H392" s="3" t="s">
        <v>17</v>
      </c>
      <c r="I392" s="4" t="s">
        <v>490</v>
      </c>
      <c r="J392" s="1" t="s">
        <v>112</v>
      </c>
      <c r="L392" s="1" t="s">
        <v>491</v>
      </c>
    </row>
    <row r="393" customFormat="false" ht="12.75" hidden="false" customHeight="false" outlineLevel="0" collapsed="false">
      <c r="E393" s="1" t="s">
        <v>20</v>
      </c>
      <c r="F393" s="1" t="s">
        <v>123</v>
      </c>
      <c r="G393" s="1" t="s">
        <v>45</v>
      </c>
      <c r="H393" s="8" t="s">
        <v>482</v>
      </c>
      <c r="K393" s="1" t="s">
        <v>125</v>
      </c>
    </row>
    <row r="394" customFormat="false" ht="12.75" hidden="false" customHeight="false" outlineLevel="0" collapsed="false">
      <c r="E394" s="1" t="s">
        <v>189</v>
      </c>
      <c r="F394" s="1" t="s">
        <v>38</v>
      </c>
      <c r="G394" s="1" t="s">
        <v>45</v>
      </c>
      <c r="H394" s="3" t="s">
        <v>46</v>
      </c>
      <c r="I394" s="2" t="str">
        <f aca="false">$B$384</f>
        <v>OMOP Specimen</v>
      </c>
      <c r="K394" s="1" t="s">
        <v>41</v>
      </c>
    </row>
    <row r="395" customFormat="false" ht="12.75" hidden="false" customHeight="false" outlineLevel="0" collapsed="false">
      <c r="E395" s="1" t="s">
        <v>190</v>
      </c>
      <c r="F395" s="1" t="s">
        <v>16</v>
      </c>
      <c r="G395" s="1" t="s">
        <v>17</v>
      </c>
      <c r="H395" s="3" t="s">
        <v>17</v>
      </c>
      <c r="I395" s="4" t="s">
        <v>55</v>
      </c>
      <c r="J395" s="1" t="s">
        <v>56</v>
      </c>
      <c r="L395" s="1" t="s">
        <v>57</v>
      </c>
    </row>
    <row r="396" customFormat="false" ht="12.75" hidden="false" customHeight="false" outlineLevel="0" collapsed="false">
      <c r="C396" s="1" t="s">
        <v>492</v>
      </c>
      <c r="E396" s="1" t="s">
        <v>115</v>
      </c>
      <c r="F396" s="1" t="s">
        <v>141</v>
      </c>
      <c r="G396" s="1" t="s">
        <v>45</v>
      </c>
      <c r="H396" s="8" t="s">
        <v>493</v>
      </c>
      <c r="J396" s="1" t="s">
        <v>418</v>
      </c>
      <c r="K396" s="1" t="s">
        <v>41</v>
      </c>
    </row>
    <row r="397" customFormat="false" ht="12.75" hidden="false" customHeight="false" outlineLevel="0" collapsed="false">
      <c r="C397" s="1" t="s">
        <v>494</v>
      </c>
      <c r="E397" s="1" t="s">
        <v>118</v>
      </c>
      <c r="F397" s="1" t="s">
        <v>21</v>
      </c>
      <c r="G397" s="1" t="s">
        <v>45</v>
      </c>
      <c r="H397" s="8" t="s">
        <v>493</v>
      </c>
    </row>
    <row r="398" customFormat="false" ht="25.5" hidden="false" customHeight="false" outlineLevel="0" collapsed="false">
      <c r="B398" s="4" t="s">
        <v>495</v>
      </c>
      <c r="D398" s="1" t="s">
        <v>14</v>
      </c>
      <c r="E398" s="1" t="s">
        <v>110</v>
      </c>
      <c r="F398" s="1" t="s">
        <v>84</v>
      </c>
      <c r="G398" s="1" t="s">
        <v>45</v>
      </c>
      <c r="H398" s="3" t="s">
        <v>46</v>
      </c>
      <c r="K398" s="1" t="s">
        <v>41</v>
      </c>
    </row>
    <row r="399" customFormat="false" ht="12.75" hidden="false" customHeight="false" outlineLevel="0" collapsed="false">
      <c r="E399" s="1" t="s">
        <v>111</v>
      </c>
      <c r="F399" s="1" t="s">
        <v>16</v>
      </c>
      <c r="G399" s="1" t="s">
        <v>17</v>
      </c>
      <c r="H399" s="3" t="s">
        <v>17</v>
      </c>
      <c r="I399" s="4" t="s">
        <v>496</v>
      </c>
      <c r="J399" s="1" t="s">
        <v>112</v>
      </c>
      <c r="L399" s="1" t="s">
        <v>497</v>
      </c>
    </row>
    <row r="400" customFormat="false" ht="12.75" hidden="false" customHeight="false" outlineLevel="0" collapsed="false">
      <c r="E400" s="1" t="s">
        <v>20</v>
      </c>
      <c r="F400" s="1" t="s">
        <v>123</v>
      </c>
      <c r="G400" s="1" t="s">
        <v>45</v>
      </c>
      <c r="H400" s="8" t="s">
        <v>482</v>
      </c>
      <c r="K400" s="1" t="s">
        <v>125</v>
      </c>
    </row>
    <row r="401" customFormat="false" ht="12.75" hidden="false" customHeight="false" outlineLevel="0" collapsed="false">
      <c r="E401" s="1" t="s">
        <v>189</v>
      </c>
      <c r="F401" s="1" t="s">
        <v>38</v>
      </c>
      <c r="G401" s="1" t="s">
        <v>45</v>
      </c>
      <c r="H401" s="3" t="s">
        <v>46</v>
      </c>
      <c r="I401" s="2" t="str">
        <f aca="false">$B$384</f>
        <v>OMOP Specimen</v>
      </c>
      <c r="K401" s="1" t="s">
        <v>41</v>
      </c>
    </row>
    <row r="402" customFormat="false" ht="12.75" hidden="false" customHeight="false" outlineLevel="0" collapsed="false">
      <c r="E402" s="1" t="s">
        <v>190</v>
      </c>
      <c r="F402" s="1" t="s">
        <v>16</v>
      </c>
      <c r="G402" s="1" t="s">
        <v>17</v>
      </c>
      <c r="H402" s="3" t="s">
        <v>17</v>
      </c>
      <c r="I402" s="4" t="s">
        <v>55</v>
      </c>
      <c r="J402" s="1" t="s">
        <v>56</v>
      </c>
      <c r="L402" s="1" t="s">
        <v>57</v>
      </c>
    </row>
    <row r="403" customFormat="false" ht="12.75" hidden="false" customHeight="false" outlineLevel="0" collapsed="false">
      <c r="C403" s="1" t="s">
        <v>498</v>
      </c>
      <c r="E403" s="1" t="s">
        <v>115</v>
      </c>
      <c r="F403" s="1" t="s">
        <v>89</v>
      </c>
      <c r="G403" s="1" t="s">
        <v>45</v>
      </c>
      <c r="H403" s="8" t="s">
        <v>499</v>
      </c>
      <c r="K403" s="1" t="s">
        <v>92</v>
      </c>
    </row>
    <row r="404" customFormat="false" ht="12.75" hidden="false" customHeight="false" outlineLevel="0" collapsed="false">
      <c r="C404" s="1" t="s">
        <v>498</v>
      </c>
      <c r="E404" s="1" t="s">
        <v>118</v>
      </c>
      <c r="F404" s="1" t="s">
        <v>21</v>
      </c>
      <c r="G404" s="1" t="s">
        <v>45</v>
      </c>
      <c r="H404" s="8" t="s">
        <v>499</v>
      </c>
    </row>
    <row r="405" customFormat="false" ht="12.75" hidden="false" customHeight="false" outlineLevel="0" collapsed="false">
      <c r="C405" s="1" t="s">
        <v>500</v>
      </c>
      <c r="E405" s="1" t="s">
        <v>216</v>
      </c>
      <c r="F405" s="1" t="s">
        <v>89</v>
      </c>
      <c r="G405" s="1" t="s">
        <v>45</v>
      </c>
      <c r="H405" s="8" t="s">
        <v>501</v>
      </c>
    </row>
    <row r="406" customFormat="false" ht="12.75" hidden="false" customHeight="false" outlineLevel="0" collapsed="false">
      <c r="C406" s="1" t="s">
        <v>500</v>
      </c>
      <c r="E406" s="1" t="s">
        <v>219</v>
      </c>
      <c r="F406" s="1" t="s">
        <v>21</v>
      </c>
      <c r="G406" s="1" t="s">
        <v>45</v>
      </c>
      <c r="H406" s="8" t="s">
        <v>501</v>
      </c>
    </row>
    <row r="407" customFormat="false" ht="25.5" hidden="false" customHeight="false" outlineLevel="0" collapsed="false">
      <c r="B407" s="4" t="s">
        <v>502</v>
      </c>
      <c r="D407" s="1" t="s">
        <v>14</v>
      </c>
      <c r="E407" s="1" t="s">
        <v>110</v>
      </c>
      <c r="F407" s="1" t="s">
        <v>84</v>
      </c>
      <c r="G407" s="1" t="s">
        <v>45</v>
      </c>
      <c r="H407" s="3" t="s">
        <v>46</v>
      </c>
      <c r="K407" s="1" t="s">
        <v>41</v>
      </c>
    </row>
    <row r="408" customFormat="false" ht="12.75" hidden="false" customHeight="false" outlineLevel="0" collapsed="false">
      <c r="E408" s="1" t="s">
        <v>111</v>
      </c>
      <c r="F408" s="1" t="s">
        <v>16</v>
      </c>
      <c r="G408" s="1" t="s">
        <v>17</v>
      </c>
      <c r="H408" s="3" t="s">
        <v>17</v>
      </c>
      <c r="I408" s="4" t="s">
        <v>503</v>
      </c>
      <c r="J408" s="1" t="s">
        <v>112</v>
      </c>
      <c r="L408" s="1" t="s">
        <v>504</v>
      </c>
    </row>
    <row r="409" customFormat="false" ht="12.75" hidden="false" customHeight="false" outlineLevel="0" collapsed="false">
      <c r="E409" s="1" t="s">
        <v>20</v>
      </c>
      <c r="F409" s="1" t="s">
        <v>123</v>
      </c>
      <c r="G409" s="1" t="s">
        <v>45</v>
      </c>
      <c r="H409" s="8" t="s">
        <v>482</v>
      </c>
      <c r="K409" s="1" t="s">
        <v>125</v>
      </c>
    </row>
    <row r="410" customFormat="false" ht="12.75" hidden="false" customHeight="false" outlineLevel="0" collapsed="false">
      <c r="E410" s="1" t="s">
        <v>189</v>
      </c>
      <c r="F410" s="1" t="s">
        <v>38</v>
      </c>
      <c r="G410" s="1" t="s">
        <v>45</v>
      </c>
      <c r="H410" s="3" t="s">
        <v>46</v>
      </c>
      <c r="I410" s="2" t="str">
        <f aca="false">$B$384</f>
        <v>OMOP Specimen</v>
      </c>
      <c r="K410" s="1" t="s">
        <v>41</v>
      </c>
    </row>
    <row r="411" customFormat="false" ht="12.75" hidden="false" customHeight="false" outlineLevel="0" collapsed="false">
      <c r="E411" s="1" t="s">
        <v>190</v>
      </c>
      <c r="F411" s="1" t="s">
        <v>16</v>
      </c>
      <c r="G411" s="1" t="s">
        <v>17</v>
      </c>
      <c r="H411" s="3" t="s">
        <v>17</v>
      </c>
      <c r="I411" s="4" t="s">
        <v>55</v>
      </c>
      <c r="J411" s="1" t="s">
        <v>56</v>
      </c>
      <c r="L411" s="1" t="s">
        <v>57</v>
      </c>
    </row>
    <row r="412" customFormat="false" ht="12.75" hidden="false" customHeight="false" outlineLevel="0" collapsed="false">
      <c r="C412" s="1" t="s">
        <v>505</v>
      </c>
      <c r="E412" s="1" t="s">
        <v>115</v>
      </c>
      <c r="F412" s="1" t="s">
        <v>89</v>
      </c>
      <c r="G412" s="1" t="s">
        <v>45</v>
      </c>
      <c r="H412" s="8" t="s">
        <v>506</v>
      </c>
      <c r="K412" s="1" t="s">
        <v>41</v>
      </c>
    </row>
    <row r="413" customFormat="false" ht="12.75" hidden="false" customHeight="false" outlineLevel="0" collapsed="false">
      <c r="C413" s="1" t="s">
        <v>507</v>
      </c>
      <c r="E413" s="1" t="s">
        <v>118</v>
      </c>
      <c r="F413" s="1" t="s">
        <v>21</v>
      </c>
      <c r="G413" s="1" t="s">
        <v>45</v>
      </c>
      <c r="H413" s="8" t="s">
        <v>506</v>
      </c>
    </row>
    <row r="414" customFormat="false" ht="25.5" hidden="false" customHeight="false" outlineLevel="0" collapsed="false">
      <c r="B414" s="4" t="s">
        <v>508</v>
      </c>
      <c r="D414" s="1" t="s">
        <v>14</v>
      </c>
      <c r="E414" s="1" t="s">
        <v>110</v>
      </c>
      <c r="F414" s="1" t="s">
        <v>84</v>
      </c>
      <c r="G414" s="1" t="s">
        <v>45</v>
      </c>
      <c r="H414" s="3" t="s">
        <v>46</v>
      </c>
      <c r="K414" s="1" t="s">
        <v>41</v>
      </c>
    </row>
    <row r="415" customFormat="false" ht="12.75" hidden="false" customHeight="false" outlineLevel="0" collapsed="false">
      <c r="E415" s="1" t="s">
        <v>111</v>
      </c>
      <c r="F415" s="1" t="s">
        <v>16</v>
      </c>
      <c r="G415" s="1" t="s">
        <v>17</v>
      </c>
      <c r="H415" s="3" t="s">
        <v>17</v>
      </c>
      <c r="I415" s="4" t="s">
        <v>509</v>
      </c>
      <c r="J415" s="1" t="s">
        <v>112</v>
      </c>
      <c r="L415" s="1" t="s">
        <v>510</v>
      </c>
    </row>
    <row r="416" customFormat="false" ht="12.75" hidden="false" customHeight="false" outlineLevel="0" collapsed="false">
      <c r="E416" s="1" t="s">
        <v>20</v>
      </c>
      <c r="F416" s="1" t="s">
        <v>123</v>
      </c>
      <c r="G416" s="1" t="s">
        <v>45</v>
      </c>
      <c r="H416" s="8" t="s">
        <v>482</v>
      </c>
      <c r="K416" s="1" t="s">
        <v>125</v>
      </c>
    </row>
    <row r="417" customFormat="false" ht="12.75" hidden="false" customHeight="false" outlineLevel="0" collapsed="false">
      <c r="E417" s="1" t="s">
        <v>189</v>
      </c>
      <c r="F417" s="1" t="s">
        <v>38</v>
      </c>
      <c r="G417" s="1" t="s">
        <v>45</v>
      </c>
      <c r="H417" s="3" t="s">
        <v>46</v>
      </c>
      <c r="I417" s="2" t="str">
        <f aca="false">$B$384</f>
        <v>OMOP Specimen</v>
      </c>
      <c r="K417" s="1" t="s">
        <v>41</v>
      </c>
    </row>
    <row r="418" customFormat="false" ht="12.75" hidden="false" customHeight="false" outlineLevel="0" collapsed="false">
      <c r="E418" s="1" t="s">
        <v>190</v>
      </c>
      <c r="F418" s="1" t="s">
        <v>16</v>
      </c>
      <c r="G418" s="1" t="s">
        <v>17</v>
      </c>
      <c r="H418" s="3" t="s">
        <v>17</v>
      </c>
      <c r="I418" s="4" t="s">
        <v>55</v>
      </c>
      <c r="J418" s="1" t="s">
        <v>56</v>
      </c>
      <c r="L418" s="1" t="s">
        <v>57</v>
      </c>
    </row>
    <row r="419" customFormat="false" ht="12.75" hidden="false" customHeight="false" outlineLevel="0" collapsed="false">
      <c r="C419" s="1" t="s">
        <v>511</v>
      </c>
      <c r="E419" s="1" t="s">
        <v>115</v>
      </c>
      <c r="F419" s="1" t="s">
        <v>89</v>
      </c>
      <c r="G419" s="1" t="s">
        <v>45</v>
      </c>
      <c r="H419" s="8" t="s">
        <v>512</v>
      </c>
      <c r="K419" s="1" t="s">
        <v>41</v>
      </c>
    </row>
    <row r="420" customFormat="false" ht="12.75" hidden="false" customHeight="false" outlineLevel="0" collapsed="false">
      <c r="C420" s="1" t="s">
        <v>511</v>
      </c>
      <c r="E420" s="1" t="s">
        <v>118</v>
      </c>
      <c r="F420" s="1" t="s">
        <v>21</v>
      </c>
      <c r="G420" s="1" t="s">
        <v>45</v>
      </c>
      <c r="H420" s="8" t="s">
        <v>512</v>
      </c>
    </row>
    <row r="421" customFormat="false" ht="25.5" hidden="false" customHeight="false" outlineLevel="0" collapsed="false">
      <c r="B421" s="4" t="s">
        <v>513</v>
      </c>
      <c r="D421" s="1" t="s">
        <v>14</v>
      </c>
      <c r="E421" s="1" t="s">
        <v>110</v>
      </c>
      <c r="F421" s="1" t="s">
        <v>84</v>
      </c>
      <c r="G421" s="1" t="s">
        <v>45</v>
      </c>
      <c r="H421" s="3" t="s">
        <v>46</v>
      </c>
      <c r="K421" s="1" t="s">
        <v>41</v>
      </c>
    </row>
    <row r="422" customFormat="false" ht="12.75" hidden="false" customHeight="false" outlineLevel="0" collapsed="false">
      <c r="E422" s="1" t="s">
        <v>111</v>
      </c>
      <c r="F422" s="1" t="s">
        <v>16</v>
      </c>
      <c r="G422" s="1" t="s">
        <v>17</v>
      </c>
      <c r="H422" s="3" t="s">
        <v>17</v>
      </c>
      <c r="I422" s="4" t="s">
        <v>514</v>
      </c>
      <c r="J422" s="1" t="s">
        <v>112</v>
      </c>
      <c r="L422" s="1" t="s">
        <v>515</v>
      </c>
    </row>
    <row r="423" customFormat="false" ht="12.75" hidden="false" customHeight="false" outlineLevel="0" collapsed="false">
      <c r="E423" s="1" t="s">
        <v>20</v>
      </c>
      <c r="F423" s="1" t="s">
        <v>123</v>
      </c>
      <c r="G423" s="1" t="s">
        <v>45</v>
      </c>
      <c r="H423" s="8" t="s">
        <v>482</v>
      </c>
      <c r="K423" s="1" t="s">
        <v>125</v>
      </c>
    </row>
    <row r="424" customFormat="false" ht="12.75" hidden="false" customHeight="false" outlineLevel="0" collapsed="false">
      <c r="E424" s="1" t="s">
        <v>189</v>
      </c>
      <c r="F424" s="1" t="s">
        <v>38</v>
      </c>
      <c r="G424" s="1" t="s">
        <v>45</v>
      </c>
      <c r="H424" s="3" t="s">
        <v>46</v>
      </c>
      <c r="I424" s="2" t="str">
        <f aca="false">$B$384</f>
        <v>OMOP Specimen</v>
      </c>
      <c r="K424" s="1" t="s">
        <v>41</v>
      </c>
    </row>
    <row r="425" customFormat="false" ht="12.75" hidden="false" customHeight="false" outlineLevel="0" collapsed="false">
      <c r="E425" s="1" t="s">
        <v>190</v>
      </c>
      <c r="F425" s="1" t="s">
        <v>16</v>
      </c>
      <c r="G425" s="1" t="s">
        <v>17</v>
      </c>
      <c r="H425" s="3" t="s">
        <v>17</v>
      </c>
      <c r="I425" s="4" t="s">
        <v>55</v>
      </c>
      <c r="J425" s="1" t="s">
        <v>56</v>
      </c>
      <c r="L425" s="1" t="s">
        <v>57</v>
      </c>
    </row>
    <row r="426" customFormat="false" ht="12.75" hidden="false" customHeight="false" outlineLevel="0" collapsed="false">
      <c r="C426" s="1" t="s">
        <v>516</v>
      </c>
      <c r="E426" s="1" t="s">
        <v>115</v>
      </c>
      <c r="F426" s="1" t="s">
        <v>89</v>
      </c>
      <c r="G426" s="1" t="s">
        <v>45</v>
      </c>
      <c r="H426" s="8" t="s">
        <v>517</v>
      </c>
      <c r="K426" s="1" t="s">
        <v>41</v>
      </c>
    </row>
    <row r="427" customFormat="false" ht="12.75" hidden="false" customHeight="false" outlineLevel="0" collapsed="false">
      <c r="C427" s="1" t="s">
        <v>516</v>
      </c>
      <c r="E427" s="1" t="s">
        <v>118</v>
      </c>
      <c r="F427" s="1" t="s">
        <v>21</v>
      </c>
      <c r="G427" s="1" t="s">
        <v>45</v>
      </c>
      <c r="H427" s="8" t="s">
        <v>517</v>
      </c>
    </row>
    <row r="428" customFormat="false" ht="25.5" hidden="false" customHeight="false" outlineLevel="0" collapsed="false">
      <c r="B428" s="4" t="s">
        <v>518</v>
      </c>
      <c r="D428" s="1" t="s">
        <v>163</v>
      </c>
      <c r="E428" s="1" t="s">
        <v>152</v>
      </c>
      <c r="F428" s="1" t="s">
        <v>38</v>
      </c>
      <c r="G428" s="1" t="s">
        <v>47</v>
      </c>
      <c r="H428" s="10" t="s">
        <v>48</v>
      </c>
      <c r="I428" s="1" t="str">
        <f aca="false">$B$65</f>
        <v>OMOP Primary Dx Episode</v>
      </c>
      <c r="K428" s="1" t="s">
        <v>41</v>
      </c>
    </row>
    <row r="429" customFormat="false" ht="12.75" hidden="false" customHeight="false" outlineLevel="0" collapsed="false">
      <c r="E429" s="1" t="s">
        <v>164</v>
      </c>
      <c r="F429" s="1" t="s">
        <v>38</v>
      </c>
      <c r="G429" s="1" t="s">
        <v>45</v>
      </c>
      <c r="H429" s="4" t="s">
        <v>46</v>
      </c>
      <c r="I429" s="2" t="str">
        <f aca="false">$B$384</f>
        <v>OMOP Specimen</v>
      </c>
      <c r="K429" s="1" t="s">
        <v>41</v>
      </c>
    </row>
    <row r="430" customFormat="false" ht="12.75" hidden="false" customHeight="false" outlineLevel="0" collapsed="false">
      <c r="E430" s="1" t="s">
        <v>165</v>
      </c>
      <c r="F430" s="1" t="s">
        <v>16</v>
      </c>
      <c r="G430" s="1" t="s">
        <v>17</v>
      </c>
      <c r="H430" s="3" t="s">
        <v>17</v>
      </c>
      <c r="I430" s="4" t="s">
        <v>55</v>
      </c>
      <c r="J430" s="1" t="s">
        <v>56</v>
      </c>
      <c r="L430" s="1" t="s">
        <v>57</v>
      </c>
    </row>
    <row r="431" customFormat="false" ht="25.5" hidden="false" customHeight="false" outlineLevel="0" collapsed="false">
      <c r="B431" s="4" t="s">
        <v>519</v>
      </c>
      <c r="D431" s="1" t="s">
        <v>163</v>
      </c>
      <c r="E431" s="1" t="s">
        <v>152</v>
      </c>
      <c r="F431" s="1" t="s">
        <v>38</v>
      </c>
      <c r="G431" s="1" t="s">
        <v>49</v>
      </c>
      <c r="H431" s="10" t="s">
        <v>50</v>
      </c>
      <c r="I431" s="2" t="str">
        <f aca="false">$B$156</f>
        <v>OMOP Treatment Episode</v>
      </c>
      <c r="K431" s="1" t="s">
        <v>41</v>
      </c>
    </row>
    <row r="432" customFormat="false" ht="12.75" hidden="false" customHeight="false" outlineLevel="0" collapsed="false">
      <c r="E432" s="1" t="s">
        <v>164</v>
      </c>
      <c r="F432" s="1" t="s">
        <v>38</v>
      </c>
      <c r="G432" s="1" t="s">
        <v>45</v>
      </c>
      <c r="H432" s="4" t="s">
        <v>46</v>
      </c>
      <c r="I432" s="2" t="str">
        <f aca="false">$B$384</f>
        <v>OMOP Specimen</v>
      </c>
      <c r="K432" s="1" t="s">
        <v>41</v>
      </c>
    </row>
    <row r="433" customFormat="false" ht="12.75" hidden="false" customHeight="false" outlineLevel="0" collapsed="false">
      <c r="E433" s="1" t="s">
        <v>165</v>
      </c>
      <c r="F433" s="1" t="s">
        <v>16</v>
      </c>
      <c r="G433" s="1" t="s">
        <v>17</v>
      </c>
      <c r="H433" s="3" t="s">
        <v>17</v>
      </c>
      <c r="I433" s="4" t="s">
        <v>55</v>
      </c>
      <c r="J433" s="1" t="s">
        <v>56</v>
      </c>
      <c r="L433" s="1" t="s">
        <v>57</v>
      </c>
    </row>
    <row r="434" customFormat="false" ht="25.5" hidden="false" customHeight="false" outlineLevel="0" collapsed="false">
      <c r="B434" s="4" t="s">
        <v>520</v>
      </c>
      <c r="G434" s="1" t="s">
        <v>45</v>
      </c>
      <c r="H434" s="9" t="s">
        <v>521</v>
      </c>
    </row>
    <row r="435" customFormat="false" ht="25.5" hidden="false" customHeight="false" outlineLevel="0" collapsed="false">
      <c r="G435" s="1" t="s">
        <v>45</v>
      </c>
      <c r="H435" s="9" t="s">
        <v>522</v>
      </c>
    </row>
    <row r="436" customFormat="false" ht="13.05" hidden="false" customHeight="false" outlineLevel="0" collapsed="false">
      <c r="G436" s="1" t="s">
        <v>45</v>
      </c>
      <c r="H436" s="9" t="s">
        <v>523</v>
      </c>
    </row>
    <row r="437" customFormat="false" ht="13.05" hidden="false" customHeight="false" outlineLevel="0" collapsed="false">
      <c r="G437" s="1" t="s">
        <v>45</v>
      </c>
      <c r="H437" s="9" t="s">
        <v>524</v>
      </c>
    </row>
    <row r="438" customFormat="false" ht="25.5" hidden="false" customHeight="false" outlineLevel="0" collapsed="false">
      <c r="A438" s="3" t="s">
        <v>525</v>
      </c>
      <c r="B438" s="4" t="s">
        <v>526</v>
      </c>
      <c r="D438" s="1" t="s">
        <v>64</v>
      </c>
      <c r="E438" s="1" t="s">
        <v>17</v>
      </c>
      <c r="F438" s="1" t="s">
        <v>75</v>
      </c>
      <c r="G438" s="1" t="s">
        <v>51</v>
      </c>
      <c r="H438" s="4" t="s">
        <v>52</v>
      </c>
    </row>
    <row r="439" customFormat="false" ht="12.75" hidden="false" customHeight="false" outlineLevel="0" collapsed="false">
      <c r="B439" s="1"/>
      <c r="D439" s="1" t="s">
        <v>27</v>
      </c>
      <c r="E439" s="1" t="s">
        <v>527</v>
      </c>
      <c r="F439" s="1" t="s">
        <v>84</v>
      </c>
      <c r="G439" s="1" t="s">
        <v>51</v>
      </c>
      <c r="H439" s="4" t="s">
        <v>52</v>
      </c>
      <c r="K439" s="1" t="s">
        <v>41</v>
      </c>
    </row>
    <row r="440" customFormat="false" ht="12.75" hidden="false" customHeight="false" outlineLevel="0" collapsed="false">
      <c r="E440" s="1" t="s">
        <v>528</v>
      </c>
      <c r="F440" s="1" t="s">
        <v>16</v>
      </c>
      <c r="G440" s="1" t="s">
        <v>17</v>
      </c>
      <c r="H440" s="3" t="s">
        <v>17</v>
      </c>
      <c r="I440" s="4" t="s">
        <v>529</v>
      </c>
      <c r="J440" s="1" t="s">
        <v>530</v>
      </c>
      <c r="L440" s="1" t="s">
        <v>531</v>
      </c>
    </row>
    <row r="441" customFormat="false" ht="12.75" hidden="false" customHeight="false" outlineLevel="0" collapsed="false">
      <c r="E441" s="1" t="s">
        <v>532</v>
      </c>
      <c r="F441" s="1" t="s">
        <v>123</v>
      </c>
      <c r="G441" s="1" t="s">
        <v>51</v>
      </c>
      <c r="H441" s="10" t="s">
        <v>533</v>
      </c>
      <c r="K441" s="1" t="s">
        <v>125</v>
      </c>
    </row>
    <row r="442" customFormat="false" ht="12.75" hidden="false" customHeight="false" outlineLevel="0" collapsed="false">
      <c r="E442" s="1" t="s">
        <v>534</v>
      </c>
      <c r="F442" s="1" t="s">
        <v>123</v>
      </c>
      <c r="G442" s="1" t="s">
        <v>51</v>
      </c>
      <c r="H442" s="10" t="s">
        <v>533</v>
      </c>
      <c r="I442" s="10"/>
      <c r="K442" s="1" t="s">
        <v>125</v>
      </c>
    </row>
    <row r="443" customFormat="false" ht="25.5" hidden="false" customHeight="false" outlineLevel="0" collapsed="false">
      <c r="B443" s="4" t="s">
        <v>535</v>
      </c>
      <c r="D443" s="1" t="s">
        <v>14</v>
      </c>
      <c r="E443" s="1" t="s">
        <v>110</v>
      </c>
      <c r="F443" s="1" t="s">
        <v>84</v>
      </c>
      <c r="G443" s="1" t="s">
        <v>51</v>
      </c>
      <c r="H443" s="4" t="s">
        <v>52</v>
      </c>
      <c r="K443" s="1" t="s">
        <v>41</v>
      </c>
    </row>
    <row r="444" customFormat="false" ht="12.75" hidden="false" customHeight="false" outlineLevel="0" collapsed="false">
      <c r="E444" s="1" t="s">
        <v>111</v>
      </c>
      <c r="F444" s="1" t="s">
        <v>16</v>
      </c>
      <c r="G444" s="1" t="s">
        <v>17</v>
      </c>
      <c r="H444" s="3" t="s">
        <v>17</v>
      </c>
      <c r="I444" s="4" t="s">
        <v>536</v>
      </c>
      <c r="J444" s="1" t="s">
        <v>112</v>
      </c>
      <c r="L444" s="1" t="s">
        <v>537</v>
      </c>
    </row>
    <row r="445" customFormat="false" ht="12.75" hidden="false" customHeight="false" outlineLevel="0" collapsed="false">
      <c r="E445" s="1" t="s">
        <v>20</v>
      </c>
      <c r="F445" s="1" t="s">
        <v>123</v>
      </c>
      <c r="G445" s="1" t="s">
        <v>51</v>
      </c>
      <c r="H445" s="8" t="s">
        <v>538</v>
      </c>
      <c r="K445" s="1" t="s">
        <v>125</v>
      </c>
    </row>
    <row r="446" customFormat="false" ht="12.75" hidden="false" customHeight="false" outlineLevel="0" collapsed="false">
      <c r="E446" s="1" t="s">
        <v>189</v>
      </c>
      <c r="F446" s="1" t="s">
        <v>38</v>
      </c>
      <c r="G446" s="1" t="s">
        <v>51</v>
      </c>
      <c r="H446" s="4" t="s">
        <v>52</v>
      </c>
      <c r="I446" s="2" t="str">
        <f aca="false">$B$438</f>
        <v>OMOP Follow Up Visit Occurrence</v>
      </c>
    </row>
    <row r="447" customFormat="false" ht="12.75" hidden="false" customHeight="false" outlineLevel="0" collapsed="false">
      <c r="E447" s="1" t="s">
        <v>190</v>
      </c>
      <c r="F447" s="1" t="s">
        <v>16</v>
      </c>
      <c r="G447" s="1" t="s">
        <v>17</v>
      </c>
      <c r="H447" s="3" t="s">
        <v>17</v>
      </c>
      <c r="I447" s="4" t="s">
        <v>60</v>
      </c>
      <c r="J447" s="1" t="s">
        <v>56</v>
      </c>
      <c r="L447" s="1" t="s">
        <v>61</v>
      </c>
    </row>
    <row r="448" customFormat="false" ht="12.75" hidden="false" customHeight="false" outlineLevel="0" collapsed="false">
      <c r="E448" s="1" t="s">
        <v>115</v>
      </c>
      <c r="F448" s="1" t="s">
        <v>89</v>
      </c>
      <c r="G448" s="1" t="s">
        <v>51</v>
      </c>
      <c r="H448" s="8" t="s">
        <v>539</v>
      </c>
      <c r="K448" s="1" t="s">
        <v>41</v>
      </c>
    </row>
    <row r="449" customFormat="false" ht="12.75" hidden="false" customHeight="false" outlineLevel="0" collapsed="false">
      <c r="E449" s="1" t="s">
        <v>118</v>
      </c>
      <c r="F449" s="1" t="s">
        <v>21</v>
      </c>
      <c r="G449" s="1" t="s">
        <v>51</v>
      </c>
      <c r="H449" s="8" t="s">
        <v>539</v>
      </c>
    </row>
    <row r="450" customFormat="false" ht="25.5" hidden="false" customHeight="false" outlineLevel="0" collapsed="false">
      <c r="B450" s="4" t="s">
        <v>540</v>
      </c>
      <c r="D450" s="1" t="s">
        <v>14</v>
      </c>
      <c r="E450" s="1" t="s">
        <v>110</v>
      </c>
      <c r="F450" s="1" t="s">
        <v>84</v>
      </c>
      <c r="G450" s="1" t="s">
        <v>51</v>
      </c>
      <c r="H450" s="4" t="s">
        <v>52</v>
      </c>
      <c r="K450" s="1" t="s">
        <v>41</v>
      </c>
    </row>
    <row r="451" customFormat="false" ht="12.75" hidden="false" customHeight="false" outlineLevel="0" collapsed="false">
      <c r="E451" s="1" t="s">
        <v>111</v>
      </c>
      <c r="F451" s="1" t="s">
        <v>16</v>
      </c>
      <c r="G451" s="1" t="s">
        <v>17</v>
      </c>
      <c r="H451" s="3" t="s">
        <v>17</v>
      </c>
      <c r="I451" s="4" t="s">
        <v>541</v>
      </c>
      <c r="J451" s="1" t="s">
        <v>112</v>
      </c>
      <c r="L451" s="1" t="s">
        <v>542</v>
      </c>
    </row>
    <row r="452" customFormat="false" ht="12.75" hidden="false" customHeight="false" outlineLevel="0" collapsed="false">
      <c r="E452" s="1" t="s">
        <v>189</v>
      </c>
      <c r="F452" s="1" t="s">
        <v>38</v>
      </c>
      <c r="G452" s="1" t="s">
        <v>51</v>
      </c>
      <c r="H452" s="4" t="s">
        <v>52</v>
      </c>
      <c r="I452" s="2" t="str">
        <f aca="false">$B$438</f>
        <v>OMOP Follow Up Visit Occurrence</v>
      </c>
      <c r="K452" s="1" t="s">
        <v>41</v>
      </c>
    </row>
    <row r="453" customFormat="false" ht="12.75" hidden="false" customHeight="false" outlineLevel="0" collapsed="false">
      <c r="E453" s="1" t="s">
        <v>190</v>
      </c>
      <c r="F453" s="1" t="s">
        <v>16</v>
      </c>
      <c r="G453" s="1" t="s">
        <v>17</v>
      </c>
      <c r="H453" s="3" t="s">
        <v>17</v>
      </c>
      <c r="I453" s="4" t="s">
        <v>60</v>
      </c>
      <c r="J453" s="1" t="s">
        <v>56</v>
      </c>
      <c r="L453" s="1" t="s">
        <v>61</v>
      </c>
    </row>
    <row r="454" customFormat="false" ht="12.75" hidden="false" customHeight="false" outlineLevel="0" collapsed="false">
      <c r="E454" s="1" t="s">
        <v>115</v>
      </c>
      <c r="F454" s="1" t="s">
        <v>89</v>
      </c>
      <c r="G454" s="1" t="s">
        <v>51</v>
      </c>
      <c r="H454" s="13" t="s">
        <v>543</v>
      </c>
      <c r="K454" s="1" t="s">
        <v>41</v>
      </c>
    </row>
    <row r="455" customFormat="false" ht="12.75" hidden="false" customHeight="false" outlineLevel="0" collapsed="false">
      <c r="E455" s="1" t="s">
        <v>118</v>
      </c>
      <c r="F455" s="1" t="s">
        <v>21</v>
      </c>
      <c r="G455" s="1" t="s">
        <v>51</v>
      </c>
      <c r="H455" s="13" t="s">
        <v>543</v>
      </c>
    </row>
    <row r="456" customFormat="false" ht="25.5" hidden="false" customHeight="false" outlineLevel="0" collapsed="false">
      <c r="B456" s="4" t="s">
        <v>544</v>
      </c>
      <c r="D456" s="1" t="s">
        <v>14</v>
      </c>
      <c r="E456" s="1" t="s">
        <v>110</v>
      </c>
      <c r="F456" s="1" t="s">
        <v>84</v>
      </c>
      <c r="G456" s="1" t="s">
        <v>51</v>
      </c>
      <c r="H456" s="4" t="s">
        <v>52</v>
      </c>
      <c r="K456" s="1" t="s">
        <v>41</v>
      </c>
    </row>
    <row r="457" customFormat="false" ht="12.75" hidden="false" customHeight="false" outlineLevel="0" collapsed="false">
      <c r="E457" s="1" t="s">
        <v>111</v>
      </c>
      <c r="F457" s="1" t="s">
        <v>16</v>
      </c>
      <c r="G457" s="1" t="s">
        <v>17</v>
      </c>
      <c r="H457" s="3" t="s">
        <v>17</v>
      </c>
      <c r="I457" s="4" t="s">
        <v>545</v>
      </c>
      <c r="J457" s="1" t="s">
        <v>112</v>
      </c>
      <c r="L457" s="1" t="s">
        <v>546</v>
      </c>
    </row>
    <row r="458" customFormat="false" ht="12.75" hidden="false" customHeight="false" outlineLevel="0" collapsed="false">
      <c r="E458" s="1" t="s">
        <v>189</v>
      </c>
      <c r="F458" s="1" t="s">
        <v>38</v>
      </c>
      <c r="G458" s="1" t="s">
        <v>51</v>
      </c>
      <c r="H458" s="4" t="s">
        <v>52</v>
      </c>
      <c r="I458" s="2" t="str">
        <f aca="false">$B$438</f>
        <v>OMOP Follow Up Visit Occurrence</v>
      </c>
      <c r="K458" s="1" t="s">
        <v>41</v>
      </c>
    </row>
    <row r="459" customFormat="false" ht="12.75" hidden="false" customHeight="false" outlineLevel="0" collapsed="false">
      <c r="E459" s="1" t="s">
        <v>190</v>
      </c>
      <c r="F459" s="1" t="s">
        <v>16</v>
      </c>
      <c r="G459" s="1" t="s">
        <v>17</v>
      </c>
      <c r="H459" s="3" t="s">
        <v>17</v>
      </c>
      <c r="I459" s="4" t="s">
        <v>60</v>
      </c>
      <c r="J459" s="1" t="s">
        <v>56</v>
      </c>
      <c r="L459" s="1" t="s">
        <v>61</v>
      </c>
    </row>
    <row r="460" customFormat="false" ht="25" hidden="false" customHeight="false" outlineLevel="0" collapsed="false">
      <c r="E460" s="1" t="s">
        <v>115</v>
      </c>
      <c r="F460" s="1" t="s">
        <v>141</v>
      </c>
      <c r="G460" s="1" t="s">
        <v>51</v>
      </c>
      <c r="H460" s="8" t="s">
        <v>547</v>
      </c>
      <c r="J460" s="1" t="s">
        <v>418</v>
      </c>
      <c r="K460" s="1" t="s">
        <v>41</v>
      </c>
    </row>
    <row r="461" customFormat="false" ht="25" hidden="false" customHeight="false" outlineLevel="0" collapsed="false">
      <c r="E461" s="1" t="s">
        <v>118</v>
      </c>
      <c r="F461" s="1" t="s">
        <v>21</v>
      </c>
      <c r="G461" s="1" t="s">
        <v>51</v>
      </c>
      <c r="H461" s="8" t="s">
        <v>547</v>
      </c>
    </row>
    <row r="462" customFormat="false" ht="25" hidden="false" customHeight="false" outlineLevel="0" collapsed="false">
      <c r="B462" s="4" t="s">
        <v>548</v>
      </c>
      <c r="G462" s="1" t="s">
        <v>51</v>
      </c>
      <c r="H462" s="14" t="s">
        <v>549</v>
      </c>
    </row>
    <row r="463" customFormat="false" ht="25" hidden="false" customHeight="false" outlineLevel="0" collapsed="false">
      <c r="A463" s="3" t="s">
        <v>550</v>
      </c>
      <c r="B463" s="4" t="s">
        <v>526</v>
      </c>
      <c r="D463" s="1" t="s">
        <v>64</v>
      </c>
      <c r="E463" s="1" t="s">
        <v>17</v>
      </c>
      <c r="F463" s="1" t="s">
        <v>75</v>
      </c>
      <c r="G463" s="1" t="s">
        <v>51</v>
      </c>
      <c r="H463" s="4" t="s">
        <v>52</v>
      </c>
    </row>
    <row r="464" customFormat="false" ht="12.75" hidden="false" customHeight="false" outlineLevel="0" collapsed="false">
      <c r="B464" s="1"/>
      <c r="D464" s="1" t="s">
        <v>27</v>
      </c>
      <c r="E464" s="1" t="s">
        <v>527</v>
      </c>
      <c r="F464" s="1" t="s">
        <v>84</v>
      </c>
      <c r="G464" s="1" t="s">
        <v>51</v>
      </c>
      <c r="H464" s="4" t="s">
        <v>52</v>
      </c>
      <c r="K464" s="1" t="s">
        <v>41</v>
      </c>
    </row>
    <row r="465" customFormat="false" ht="12.75" hidden="false" customHeight="false" outlineLevel="0" collapsed="false">
      <c r="E465" s="1" t="s">
        <v>528</v>
      </c>
      <c r="F465" s="1" t="s">
        <v>16</v>
      </c>
      <c r="G465" s="1" t="s">
        <v>17</v>
      </c>
      <c r="H465" s="3" t="s">
        <v>17</v>
      </c>
      <c r="I465" s="4" t="s">
        <v>529</v>
      </c>
      <c r="J465" s="1" t="s">
        <v>530</v>
      </c>
      <c r="L465" s="1" t="s">
        <v>531</v>
      </c>
    </row>
    <row r="466" customFormat="false" ht="12.75" hidden="false" customHeight="false" outlineLevel="0" collapsed="false">
      <c r="E466" s="1" t="s">
        <v>532</v>
      </c>
      <c r="F466" s="1" t="s">
        <v>123</v>
      </c>
      <c r="G466" s="1" t="s">
        <v>51</v>
      </c>
      <c r="H466" s="10" t="s">
        <v>533</v>
      </c>
      <c r="K466" s="1" t="s">
        <v>125</v>
      </c>
    </row>
    <row r="467" customFormat="false" ht="12.75" hidden="false" customHeight="false" outlineLevel="0" collapsed="false">
      <c r="E467" s="1" t="s">
        <v>534</v>
      </c>
      <c r="F467" s="1" t="s">
        <v>123</v>
      </c>
      <c r="G467" s="1" t="s">
        <v>51</v>
      </c>
      <c r="H467" s="10" t="s">
        <v>533</v>
      </c>
      <c r="I467" s="10"/>
      <c r="K467" s="1" t="s">
        <v>125</v>
      </c>
    </row>
    <row r="468" customFormat="false" ht="25.5" hidden="false" customHeight="false" outlineLevel="0" collapsed="false">
      <c r="B468" s="4" t="s">
        <v>535</v>
      </c>
      <c r="D468" s="1" t="s">
        <v>14</v>
      </c>
      <c r="E468" s="1" t="s">
        <v>110</v>
      </c>
      <c r="F468" s="1" t="s">
        <v>84</v>
      </c>
      <c r="G468" s="1" t="s">
        <v>51</v>
      </c>
      <c r="H468" s="4" t="s">
        <v>52</v>
      </c>
      <c r="K468" s="1" t="s">
        <v>41</v>
      </c>
    </row>
    <row r="469" customFormat="false" ht="12.75" hidden="false" customHeight="false" outlineLevel="0" collapsed="false">
      <c r="E469" s="1" t="s">
        <v>111</v>
      </c>
      <c r="F469" s="1" t="s">
        <v>16</v>
      </c>
      <c r="G469" s="1" t="s">
        <v>17</v>
      </c>
      <c r="H469" s="3" t="s">
        <v>17</v>
      </c>
      <c r="I469" s="4" t="s">
        <v>536</v>
      </c>
      <c r="J469" s="1" t="s">
        <v>112</v>
      </c>
      <c r="L469" s="1" t="s">
        <v>537</v>
      </c>
    </row>
    <row r="470" customFormat="false" ht="12.75" hidden="false" customHeight="false" outlineLevel="0" collapsed="false">
      <c r="E470" s="1" t="s">
        <v>20</v>
      </c>
      <c r="F470" s="1" t="s">
        <v>123</v>
      </c>
      <c r="G470" s="1" t="s">
        <v>51</v>
      </c>
      <c r="H470" s="8" t="s">
        <v>538</v>
      </c>
      <c r="K470" s="1" t="s">
        <v>125</v>
      </c>
    </row>
    <row r="471" customFormat="false" ht="12.75" hidden="false" customHeight="false" outlineLevel="0" collapsed="false">
      <c r="E471" s="1" t="s">
        <v>189</v>
      </c>
      <c r="F471" s="1" t="s">
        <v>38</v>
      </c>
      <c r="G471" s="1" t="s">
        <v>51</v>
      </c>
      <c r="H471" s="4" t="s">
        <v>52</v>
      </c>
      <c r="I471" s="2" t="str">
        <f aca="false">$B$438</f>
        <v>OMOP Follow Up Visit Occurrence</v>
      </c>
    </row>
    <row r="472" customFormat="false" ht="12.75" hidden="false" customHeight="false" outlineLevel="0" collapsed="false">
      <c r="E472" s="1" t="s">
        <v>190</v>
      </c>
      <c r="F472" s="1" t="s">
        <v>16</v>
      </c>
      <c r="G472" s="1" t="s">
        <v>17</v>
      </c>
      <c r="H472" s="3" t="s">
        <v>17</v>
      </c>
      <c r="I472" s="4" t="s">
        <v>60</v>
      </c>
      <c r="J472" s="1" t="s">
        <v>56</v>
      </c>
      <c r="L472" s="1" t="s">
        <v>61</v>
      </c>
    </row>
    <row r="473" customFormat="false" ht="12.75" hidden="false" customHeight="false" outlineLevel="0" collapsed="false">
      <c r="E473" s="1" t="s">
        <v>115</v>
      </c>
      <c r="F473" s="1" t="s">
        <v>89</v>
      </c>
      <c r="G473" s="1" t="s">
        <v>51</v>
      </c>
      <c r="H473" s="8" t="s">
        <v>539</v>
      </c>
      <c r="K473" s="1" t="s">
        <v>41</v>
      </c>
    </row>
    <row r="474" customFormat="false" ht="12.75" hidden="false" customHeight="false" outlineLevel="0" collapsed="false">
      <c r="E474" s="1" t="s">
        <v>118</v>
      </c>
      <c r="F474" s="1" t="s">
        <v>21</v>
      </c>
      <c r="G474" s="1" t="s">
        <v>51</v>
      </c>
      <c r="H474" s="8" t="s">
        <v>539</v>
      </c>
    </row>
    <row r="475" customFormat="false" ht="25.5" hidden="false" customHeight="false" outlineLevel="0" collapsed="false">
      <c r="B475" s="4" t="s">
        <v>540</v>
      </c>
      <c r="D475" s="1" t="s">
        <v>14</v>
      </c>
      <c r="E475" s="1" t="s">
        <v>110</v>
      </c>
      <c r="F475" s="1" t="s">
        <v>84</v>
      </c>
      <c r="G475" s="1" t="s">
        <v>51</v>
      </c>
      <c r="H475" s="4" t="s">
        <v>52</v>
      </c>
      <c r="K475" s="1" t="s">
        <v>41</v>
      </c>
    </row>
    <row r="476" customFormat="false" ht="12.75" hidden="false" customHeight="false" outlineLevel="0" collapsed="false">
      <c r="E476" s="1" t="s">
        <v>111</v>
      </c>
      <c r="F476" s="1" t="s">
        <v>16</v>
      </c>
      <c r="G476" s="1" t="s">
        <v>17</v>
      </c>
      <c r="H476" s="3" t="s">
        <v>17</v>
      </c>
      <c r="I476" s="4" t="s">
        <v>541</v>
      </c>
      <c r="J476" s="1" t="s">
        <v>112</v>
      </c>
      <c r="L476" s="1" t="s">
        <v>542</v>
      </c>
    </row>
    <row r="477" customFormat="false" ht="12.75" hidden="false" customHeight="false" outlineLevel="0" collapsed="false">
      <c r="E477" s="1" t="s">
        <v>189</v>
      </c>
      <c r="F477" s="1" t="s">
        <v>38</v>
      </c>
      <c r="G477" s="1" t="s">
        <v>51</v>
      </c>
      <c r="H477" s="4" t="s">
        <v>52</v>
      </c>
      <c r="I477" s="2" t="str">
        <f aca="false">$B$438</f>
        <v>OMOP Follow Up Visit Occurrence</v>
      </c>
      <c r="K477" s="1" t="s">
        <v>41</v>
      </c>
    </row>
    <row r="478" customFormat="false" ht="12.75" hidden="false" customHeight="false" outlineLevel="0" collapsed="false">
      <c r="E478" s="1" t="s">
        <v>190</v>
      </c>
      <c r="F478" s="1" t="s">
        <v>16</v>
      </c>
      <c r="G478" s="1" t="s">
        <v>17</v>
      </c>
      <c r="H478" s="3" t="s">
        <v>17</v>
      </c>
      <c r="I478" s="4" t="s">
        <v>60</v>
      </c>
      <c r="J478" s="1" t="s">
        <v>56</v>
      </c>
      <c r="L478" s="1" t="s">
        <v>61</v>
      </c>
    </row>
    <row r="479" customFormat="false" ht="12.75" hidden="false" customHeight="false" outlineLevel="0" collapsed="false">
      <c r="E479" s="1" t="s">
        <v>115</v>
      </c>
      <c r="F479" s="1" t="s">
        <v>89</v>
      </c>
      <c r="G479" s="1" t="s">
        <v>51</v>
      </c>
      <c r="H479" s="13" t="s">
        <v>543</v>
      </c>
      <c r="K479" s="1" t="s">
        <v>41</v>
      </c>
    </row>
    <row r="480" customFormat="false" ht="12.75" hidden="false" customHeight="false" outlineLevel="0" collapsed="false">
      <c r="E480" s="1" t="s">
        <v>118</v>
      </c>
      <c r="F480" s="1" t="s">
        <v>21</v>
      </c>
      <c r="G480" s="1" t="s">
        <v>51</v>
      </c>
      <c r="H480" s="13" t="s">
        <v>543</v>
      </c>
    </row>
    <row r="481" customFormat="false" ht="25.5" hidden="false" customHeight="false" outlineLevel="0" collapsed="false">
      <c r="B481" s="4" t="s">
        <v>544</v>
      </c>
      <c r="D481" s="1" t="s">
        <v>14</v>
      </c>
      <c r="E481" s="1" t="s">
        <v>110</v>
      </c>
      <c r="F481" s="1" t="s">
        <v>84</v>
      </c>
      <c r="G481" s="1" t="s">
        <v>51</v>
      </c>
      <c r="H481" s="4" t="s">
        <v>52</v>
      </c>
      <c r="K481" s="1" t="s">
        <v>41</v>
      </c>
    </row>
    <row r="482" customFormat="false" ht="12.75" hidden="false" customHeight="false" outlineLevel="0" collapsed="false">
      <c r="E482" s="1" t="s">
        <v>111</v>
      </c>
      <c r="F482" s="1" t="s">
        <v>16</v>
      </c>
      <c r="G482" s="1" t="s">
        <v>17</v>
      </c>
      <c r="H482" s="3" t="s">
        <v>17</v>
      </c>
      <c r="I482" s="4" t="s">
        <v>545</v>
      </c>
      <c r="J482" s="1" t="s">
        <v>112</v>
      </c>
      <c r="L482" s="1" t="s">
        <v>546</v>
      </c>
    </row>
    <row r="483" customFormat="false" ht="12.75" hidden="false" customHeight="false" outlineLevel="0" collapsed="false">
      <c r="E483" s="1" t="s">
        <v>189</v>
      </c>
      <c r="F483" s="1" t="s">
        <v>38</v>
      </c>
      <c r="G483" s="1" t="s">
        <v>51</v>
      </c>
      <c r="H483" s="4" t="s">
        <v>52</v>
      </c>
      <c r="I483" s="2" t="str">
        <f aca="false">$B$438</f>
        <v>OMOP Follow Up Visit Occurrence</v>
      </c>
      <c r="K483" s="1" t="s">
        <v>41</v>
      </c>
    </row>
    <row r="484" customFormat="false" ht="12.75" hidden="false" customHeight="false" outlineLevel="0" collapsed="false">
      <c r="E484" s="1" t="s">
        <v>190</v>
      </c>
      <c r="F484" s="1" t="s">
        <v>16</v>
      </c>
      <c r="G484" s="1" t="s">
        <v>17</v>
      </c>
      <c r="H484" s="3" t="s">
        <v>17</v>
      </c>
      <c r="I484" s="4" t="s">
        <v>60</v>
      </c>
      <c r="J484" s="1" t="s">
        <v>56</v>
      </c>
      <c r="L484" s="1" t="s">
        <v>61</v>
      </c>
    </row>
    <row r="485" customFormat="false" ht="25" hidden="false" customHeight="false" outlineLevel="0" collapsed="false">
      <c r="E485" s="1" t="s">
        <v>115</v>
      </c>
      <c r="F485" s="1" t="s">
        <v>141</v>
      </c>
      <c r="G485" s="1" t="s">
        <v>51</v>
      </c>
      <c r="H485" s="8" t="s">
        <v>547</v>
      </c>
      <c r="J485" s="1" t="s">
        <v>418</v>
      </c>
      <c r="K485" s="1" t="s">
        <v>41</v>
      </c>
    </row>
    <row r="486" customFormat="false" ht="25" hidden="false" customHeight="false" outlineLevel="0" collapsed="false">
      <c r="E486" s="1" t="s">
        <v>118</v>
      </c>
      <c r="F486" s="1" t="s">
        <v>21</v>
      </c>
      <c r="G486" s="1" t="s">
        <v>51</v>
      </c>
      <c r="H486" s="8" t="s">
        <v>547</v>
      </c>
    </row>
    <row r="487" customFormat="false" ht="25" hidden="false" customHeight="false" outlineLevel="0" collapsed="false">
      <c r="B487" s="4" t="s">
        <v>551</v>
      </c>
      <c r="D487" s="1" t="s">
        <v>163</v>
      </c>
      <c r="E487" s="1" t="s">
        <v>152</v>
      </c>
      <c r="F487" s="1" t="s">
        <v>38</v>
      </c>
      <c r="G487" s="1" t="s">
        <v>47</v>
      </c>
      <c r="H487" s="10" t="s">
        <v>48</v>
      </c>
      <c r="I487" s="1" t="str">
        <f aca="false">$B$65</f>
        <v>OMOP Primary Dx Episode</v>
      </c>
      <c r="K487" s="1" t="s">
        <v>41</v>
      </c>
    </row>
    <row r="488" customFormat="false" ht="12.75" hidden="false" customHeight="false" outlineLevel="0" collapsed="false">
      <c r="E488" s="1" t="s">
        <v>164</v>
      </c>
      <c r="F488" s="1" t="s">
        <v>38</v>
      </c>
      <c r="G488" s="1" t="s">
        <v>51</v>
      </c>
      <c r="H488" s="4" t="s">
        <v>52</v>
      </c>
      <c r="I488" s="2" t="str">
        <f aca="false">$B$438</f>
        <v>OMOP Follow Up Visit Occurrence</v>
      </c>
      <c r="K488" s="1" t="s">
        <v>41</v>
      </c>
    </row>
    <row r="489" customFormat="false" ht="12.75" hidden="false" customHeight="false" outlineLevel="0" collapsed="false">
      <c r="E489" s="1" t="s">
        <v>165</v>
      </c>
      <c r="F489" s="1" t="s">
        <v>16</v>
      </c>
      <c r="G489" s="1" t="s">
        <v>17</v>
      </c>
      <c r="H489" s="3" t="s">
        <v>17</v>
      </c>
      <c r="I489" s="4" t="s">
        <v>60</v>
      </c>
      <c r="J489" s="1" t="s">
        <v>56</v>
      </c>
      <c r="L489" s="1" t="s">
        <v>61</v>
      </c>
    </row>
    <row r="490" customFormat="false" ht="25.5" hidden="false" customHeight="false" outlineLevel="0" collapsed="false">
      <c r="A490" s="3" t="s">
        <v>552</v>
      </c>
      <c r="B490" s="4" t="s">
        <v>526</v>
      </c>
      <c r="D490" s="1" t="s">
        <v>64</v>
      </c>
      <c r="E490" s="1" t="s">
        <v>17</v>
      </c>
      <c r="F490" s="1" t="s">
        <v>75</v>
      </c>
      <c r="G490" s="1" t="s">
        <v>51</v>
      </c>
      <c r="H490" s="4" t="s">
        <v>52</v>
      </c>
    </row>
    <row r="491" customFormat="false" ht="12.75" hidden="false" customHeight="false" outlineLevel="0" collapsed="false">
      <c r="B491" s="1"/>
      <c r="D491" s="1" t="s">
        <v>27</v>
      </c>
      <c r="E491" s="1" t="s">
        <v>527</v>
      </c>
      <c r="F491" s="1" t="s">
        <v>84</v>
      </c>
      <c r="G491" s="1" t="s">
        <v>51</v>
      </c>
      <c r="H491" s="4" t="s">
        <v>52</v>
      </c>
      <c r="K491" s="1" t="s">
        <v>41</v>
      </c>
    </row>
    <row r="492" customFormat="false" ht="12.75" hidden="false" customHeight="false" outlineLevel="0" collapsed="false">
      <c r="E492" s="1" t="s">
        <v>528</v>
      </c>
      <c r="F492" s="1" t="s">
        <v>16</v>
      </c>
      <c r="G492" s="1" t="s">
        <v>17</v>
      </c>
      <c r="H492" s="3" t="s">
        <v>17</v>
      </c>
      <c r="I492" s="4" t="s">
        <v>529</v>
      </c>
      <c r="J492" s="1" t="s">
        <v>530</v>
      </c>
      <c r="L492" s="1" t="s">
        <v>531</v>
      </c>
    </row>
    <row r="493" customFormat="false" ht="12.75" hidden="false" customHeight="false" outlineLevel="0" collapsed="false">
      <c r="E493" s="1" t="s">
        <v>532</v>
      </c>
      <c r="F493" s="1" t="s">
        <v>123</v>
      </c>
      <c r="G493" s="1" t="s">
        <v>51</v>
      </c>
      <c r="H493" s="10" t="s">
        <v>533</v>
      </c>
      <c r="K493" s="1" t="s">
        <v>125</v>
      </c>
    </row>
    <row r="494" customFormat="false" ht="12.75" hidden="false" customHeight="false" outlineLevel="0" collapsed="false">
      <c r="E494" s="1" t="s">
        <v>534</v>
      </c>
      <c r="F494" s="1" t="s">
        <v>123</v>
      </c>
      <c r="G494" s="1" t="s">
        <v>51</v>
      </c>
      <c r="H494" s="10" t="s">
        <v>533</v>
      </c>
      <c r="I494" s="10"/>
      <c r="K494" s="1" t="s">
        <v>125</v>
      </c>
    </row>
    <row r="495" customFormat="false" ht="25.5" hidden="false" customHeight="false" outlineLevel="0" collapsed="false">
      <c r="B495" s="4" t="s">
        <v>535</v>
      </c>
      <c r="D495" s="1" t="s">
        <v>14</v>
      </c>
      <c r="E495" s="1" t="s">
        <v>110</v>
      </c>
      <c r="F495" s="1" t="s">
        <v>84</v>
      </c>
      <c r="G495" s="1" t="s">
        <v>51</v>
      </c>
      <c r="H495" s="4" t="s">
        <v>52</v>
      </c>
      <c r="K495" s="1" t="s">
        <v>41</v>
      </c>
    </row>
    <row r="496" customFormat="false" ht="12.75" hidden="false" customHeight="false" outlineLevel="0" collapsed="false">
      <c r="E496" s="1" t="s">
        <v>111</v>
      </c>
      <c r="F496" s="1" t="s">
        <v>16</v>
      </c>
      <c r="G496" s="1" t="s">
        <v>17</v>
      </c>
      <c r="H496" s="3" t="s">
        <v>17</v>
      </c>
      <c r="I496" s="4" t="s">
        <v>536</v>
      </c>
      <c r="J496" s="1" t="s">
        <v>112</v>
      </c>
      <c r="L496" s="1" t="s">
        <v>537</v>
      </c>
    </row>
    <row r="497" customFormat="false" ht="12.75" hidden="false" customHeight="false" outlineLevel="0" collapsed="false">
      <c r="E497" s="1" t="s">
        <v>20</v>
      </c>
      <c r="F497" s="1" t="s">
        <v>123</v>
      </c>
      <c r="G497" s="1" t="s">
        <v>51</v>
      </c>
      <c r="H497" s="8" t="s">
        <v>538</v>
      </c>
      <c r="K497" s="1" t="s">
        <v>125</v>
      </c>
    </row>
    <row r="498" customFormat="false" ht="12.75" hidden="false" customHeight="false" outlineLevel="0" collapsed="false">
      <c r="E498" s="1" t="s">
        <v>189</v>
      </c>
      <c r="F498" s="1" t="s">
        <v>38</v>
      </c>
      <c r="G498" s="1" t="s">
        <v>51</v>
      </c>
      <c r="H498" s="4" t="s">
        <v>52</v>
      </c>
      <c r="I498" s="2" t="str">
        <f aca="false">$B$438</f>
        <v>OMOP Follow Up Visit Occurrence</v>
      </c>
    </row>
    <row r="499" customFormat="false" ht="12.75" hidden="false" customHeight="false" outlineLevel="0" collapsed="false">
      <c r="E499" s="1" t="s">
        <v>190</v>
      </c>
      <c r="F499" s="1" t="s">
        <v>16</v>
      </c>
      <c r="G499" s="1" t="s">
        <v>17</v>
      </c>
      <c r="H499" s="3" t="s">
        <v>17</v>
      </c>
      <c r="I499" s="4" t="s">
        <v>60</v>
      </c>
      <c r="J499" s="1" t="s">
        <v>56</v>
      </c>
      <c r="L499" s="1" t="s">
        <v>61</v>
      </c>
    </row>
    <row r="500" customFormat="false" ht="12.75" hidden="false" customHeight="false" outlineLevel="0" collapsed="false">
      <c r="E500" s="1" t="s">
        <v>115</v>
      </c>
      <c r="F500" s="1" t="s">
        <v>89</v>
      </c>
      <c r="G500" s="1" t="s">
        <v>51</v>
      </c>
      <c r="H500" s="8" t="s">
        <v>539</v>
      </c>
      <c r="K500" s="1" t="s">
        <v>41</v>
      </c>
    </row>
    <row r="501" customFormat="false" ht="12.75" hidden="false" customHeight="false" outlineLevel="0" collapsed="false">
      <c r="E501" s="1" t="s">
        <v>118</v>
      </c>
      <c r="F501" s="1" t="s">
        <v>21</v>
      </c>
      <c r="G501" s="1" t="s">
        <v>51</v>
      </c>
      <c r="H501" s="8" t="s">
        <v>539</v>
      </c>
    </row>
    <row r="502" customFormat="false" ht="25.5" hidden="false" customHeight="false" outlineLevel="0" collapsed="false">
      <c r="B502" s="4" t="s">
        <v>540</v>
      </c>
      <c r="D502" s="1" t="s">
        <v>14</v>
      </c>
      <c r="E502" s="1" t="s">
        <v>110</v>
      </c>
      <c r="F502" s="1" t="s">
        <v>84</v>
      </c>
      <c r="G502" s="1" t="s">
        <v>51</v>
      </c>
      <c r="H502" s="4" t="s">
        <v>52</v>
      </c>
      <c r="K502" s="1" t="s">
        <v>41</v>
      </c>
    </row>
    <row r="503" customFormat="false" ht="12.75" hidden="false" customHeight="false" outlineLevel="0" collapsed="false">
      <c r="E503" s="1" t="s">
        <v>111</v>
      </c>
      <c r="F503" s="1" t="s">
        <v>16</v>
      </c>
      <c r="G503" s="1" t="s">
        <v>17</v>
      </c>
      <c r="H503" s="3" t="s">
        <v>17</v>
      </c>
      <c r="I503" s="4" t="s">
        <v>541</v>
      </c>
      <c r="J503" s="1" t="s">
        <v>112</v>
      </c>
      <c r="L503" s="1" t="s">
        <v>542</v>
      </c>
    </row>
    <row r="504" customFormat="false" ht="12.75" hidden="false" customHeight="false" outlineLevel="0" collapsed="false">
      <c r="E504" s="1" t="s">
        <v>189</v>
      </c>
      <c r="F504" s="1" t="s">
        <v>38</v>
      </c>
      <c r="G504" s="1" t="s">
        <v>51</v>
      </c>
      <c r="H504" s="4" t="s">
        <v>52</v>
      </c>
      <c r="I504" s="2" t="str">
        <f aca="false">$B$438</f>
        <v>OMOP Follow Up Visit Occurrence</v>
      </c>
      <c r="K504" s="1" t="s">
        <v>41</v>
      </c>
    </row>
    <row r="505" customFormat="false" ht="12.75" hidden="false" customHeight="false" outlineLevel="0" collapsed="false">
      <c r="E505" s="1" t="s">
        <v>190</v>
      </c>
      <c r="F505" s="1" t="s">
        <v>16</v>
      </c>
      <c r="G505" s="1" t="s">
        <v>17</v>
      </c>
      <c r="H505" s="3" t="s">
        <v>17</v>
      </c>
      <c r="I505" s="4" t="s">
        <v>60</v>
      </c>
      <c r="J505" s="1" t="s">
        <v>56</v>
      </c>
      <c r="L505" s="1" t="s">
        <v>61</v>
      </c>
    </row>
    <row r="506" customFormat="false" ht="12.75" hidden="false" customHeight="false" outlineLevel="0" collapsed="false">
      <c r="E506" s="1" t="s">
        <v>115</v>
      </c>
      <c r="F506" s="1" t="s">
        <v>89</v>
      </c>
      <c r="G506" s="1" t="s">
        <v>51</v>
      </c>
      <c r="H506" s="13" t="s">
        <v>543</v>
      </c>
      <c r="K506" s="1" t="s">
        <v>41</v>
      </c>
    </row>
    <row r="507" customFormat="false" ht="12.75" hidden="false" customHeight="false" outlineLevel="0" collapsed="false">
      <c r="E507" s="1" t="s">
        <v>118</v>
      </c>
      <c r="F507" s="1" t="s">
        <v>21</v>
      </c>
      <c r="G507" s="1" t="s">
        <v>51</v>
      </c>
      <c r="H507" s="13" t="s">
        <v>543</v>
      </c>
    </row>
    <row r="508" customFormat="false" ht="25.5" hidden="false" customHeight="false" outlineLevel="0" collapsed="false">
      <c r="B508" s="4" t="s">
        <v>544</v>
      </c>
      <c r="D508" s="1" t="s">
        <v>14</v>
      </c>
      <c r="E508" s="1" t="s">
        <v>110</v>
      </c>
      <c r="F508" s="1" t="s">
        <v>84</v>
      </c>
      <c r="G508" s="1" t="s">
        <v>51</v>
      </c>
      <c r="H508" s="4" t="s">
        <v>52</v>
      </c>
      <c r="K508" s="1" t="s">
        <v>41</v>
      </c>
    </row>
    <row r="509" customFormat="false" ht="12.75" hidden="false" customHeight="false" outlineLevel="0" collapsed="false">
      <c r="E509" s="1" t="s">
        <v>111</v>
      </c>
      <c r="F509" s="1" t="s">
        <v>16</v>
      </c>
      <c r="G509" s="1" t="s">
        <v>17</v>
      </c>
      <c r="H509" s="3" t="s">
        <v>17</v>
      </c>
      <c r="I509" s="4" t="s">
        <v>545</v>
      </c>
      <c r="J509" s="1" t="s">
        <v>112</v>
      </c>
      <c r="L509" s="1" t="s">
        <v>546</v>
      </c>
    </row>
    <row r="510" customFormat="false" ht="12.75" hidden="false" customHeight="false" outlineLevel="0" collapsed="false">
      <c r="E510" s="1" t="s">
        <v>189</v>
      </c>
      <c r="F510" s="1" t="s">
        <v>38</v>
      </c>
      <c r="G510" s="1" t="s">
        <v>51</v>
      </c>
      <c r="H510" s="4" t="s">
        <v>52</v>
      </c>
      <c r="I510" s="2" t="str">
        <f aca="false">$B$438</f>
        <v>OMOP Follow Up Visit Occurrence</v>
      </c>
      <c r="K510" s="1" t="s">
        <v>41</v>
      </c>
    </row>
    <row r="511" customFormat="false" ht="12.75" hidden="false" customHeight="false" outlineLevel="0" collapsed="false">
      <c r="E511" s="1" t="s">
        <v>190</v>
      </c>
      <c r="F511" s="1" t="s">
        <v>16</v>
      </c>
      <c r="G511" s="1" t="s">
        <v>17</v>
      </c>
      <c r="H511" s="3" t="s">
        <v>17</v>
      </c>
      <c r="I511" s="4" t="s">
        <v>60</v>
      </c>
      <c r="J511" s="1" t="s">
        <v>56</v>
      </c>
      <c r="L511" s="1" t="s">
        <v>61</v>
      </c>
    </row>
    <row r="512" customFormat="false" ht="25" hidden="false" customHeight="false" outlineLevel="0" collapsed="false">
      <c r="E512" s="1" t="s">
        <v>115</v>
      </c>
      <c r="F512" s="1" t="s">
        <v>141</v>
      </c>
      <c r="G512" s="1" t="s">
        <v>51</v>
      </c>
      <c r="H512" s="8" t="s">
        <v>547</v>
      </c>
      <c r="J512" s="1" t="s">
        <v>418</v>
      </c>
      <c r="K512" s="1" t="s">
        <v>41</v>
      </c>
    </row>
    <row r="513" customFormat="false" ht="25" hidden="false" customHeight="false" outlineLevel="0" collapsed="false">
      <c r="E513" s="1" t="s">
        <v>118</v>
      </c>
      <c r="F513" s="1" t="s">
        <v>21</v>
      </c>
      <c r="G513" s="1" t="s">
        <v>51</v>
      </c>
      <c r="H513" s="8" t="s">
        <v>547</v>
      </c>
    </row>
    <row r="514" customFormat="false" ht="25" hidden="false" customHeight="false" outlineLevel="0" collapsed="false">
      <c r="B514" s="4" t="s">
        <v>553</v>
      </c>
      <c r="D514" s="1" t="s">
        <v>163</v>
      </c>
      <c r="E514" s="1" t="s">
        <v>152</v>
      </c>
      <c r="F514" s="1" t="s">
        <v>38</v>
      </c>
      <c r="G514" s="1" t="s">
        <v>49</v>
      </c>
      <c r="H514" s="10" t="s">
        <v>50</v>
      </c>
      <c r="I514" s="2" t="str">
        <f aca="false">$B$156</f>
        <v>OMOP Treatment Episode</v>
      </c>
      <c r="K514" s="1" t="s">
        <v>41</v>
      </c>
    </row>
    <row r="515" customFormat="false" ht="12.75" hidden="false" customHeight="false" outlineLevel="0" collapsed="false">
      <c r="E515" s="1" t="s">
        <v>164</v>
      </c>
      <c r="F515" s="1" t="s">
        <v>38</v>
      </c>
      <c r="G515" s="1" t="s">
        <v>51</v>
      </c>
      <c r="H515" s="4" t="s">
        <v>52</v>
      </c>
      <c r="I515" s="2" t="str">
        <f aca="false">$B$438</f>
        <v>OMOP Follow Up Visit Occurrence</v>
      </c>
      <c r="K515" s="1" t="s">
        <v>41</v>
      </c>
    </row>
    <row r="516" customFormat="false" ht="12.75" hidden="false" customHeight="false" outlineLevel="0" collapsed="false">
      <c r="E516" s="1" t="s">
        <v>165</v>
      </c>
      <c r="F516" s="1" t="s">
        <v>16</v>
      </c>
      <c r="G516" s="1" t="s">
        <v>17</v>
      </c>
      <c r="H516" s="3" t="s">
        <v>17</v>
      </c>
      <c r="I516" s="4" t="s">
        <v>60</v>
      </c>
      <c r="J516" s="1" t="s">
        <v>56</v>
      </c>
      <c r="L516" s="1" t="s">
        <v>61</v>
      </c>
    </row>
    <row r="517" customFormat="false" ht="25.5" hidden="false" customHeight="false" outlineLevel="0" collapsed="false">
      <c r="A517" s="3" t="s">
        <v>554</v>
      </c>
      <c r="B517" s="4" t="s">
        <v>555</v>
      </c>
      <c r="D517" s="1" t="s">
        <v>29</v>
      </c>
      <c r="E517" s="1" t="s">
        <v>168</v>
      </c>
      <c r="F517" s="1" t="s">
        <v>277</v>
      </c>
      <c r="G517" s="1" t="s">
        <v>39</v>
      </c>
      <c r="H517" s="3" t="s">
        <v>40</v>
      </c>
      <c r="K517" s="1" t="s">
        <v>41</v>
      </c>
    </row>
    <row r="518" customFormat="false" ht="12.75" hidden="false" customHeight="false" outlineLevel="0" collapsed="false">
      <c r="E518" s="1" t="s">
        <v>169</v>
      </c>
      <c r="F518" s="1" t="s">
        <v>16</v>
      </c>
      <c r="G518" s="1" t="s">
        <v>17</v>
      </c>
      <c r="H518" s="3" t="s">
        <v>17</v>
      </c>
      <c r="I518" s="4" t="s">
        <v>556</v>
      </c>
      <c r="J518" s="1" t="s">
        <v>112</v>
      </c>
      <c r="L518" s="1" t="s">
        <v>557</v>
      </c>
    </row>
    <row r="519" customFormat="false" ht="12.75" hidden="false" customHeight="false" outlineLevel="0" collapsed="false">
      <c r="E519" s="1" t="s">
        <v>31</v>
      </c>
      <c r="F519" s="1" t="s">
        <v>123</v>
      </c>
      <c r="G519" s="1" t="s">
        <v>558</v>
      </c>
      <c r="H519" s="13" t="s">
        <v>559</v>
      </c>
      <c r="K519" s="1" t="s">
        <v>125</v>
      </c>
    </row>
    <row r="520" customFormat="false" ht="12.75" hidden="false" customHeight="false" outlineLevel="0" collapsed="false">
      <c r="E520" s="1" t="s">
        <v>363</v>
      </c>
      <c r="F520" s="1" t="s">
        <v>21</v>
      </c>
      <c r="G520" s="1" t="s">
        <v>558</v>
      </c>
      <c r="H520" s="8" t="s">
        <v>560</v>
      </c>
      <c r="K520" s="1" t="s">
        <v>41</v>
      </c>
    </row>
    <row r="521" customFormat="false" ht="12.75" hidden="false" customHeight="false" outlineLevel="0" collapsed="false">
      <c r="E521" s="1" t="s">
        <v>366</v>
      </c>
      <c r="F521" s="1" t="s">
        <v>16</v>
      </c>
      <c r="G521" s="1" t="s">
        <v>17</v>
      </c>
      <c r="H521" s="3" t="s">
        <v>17</v>
      </c>
      <c r="I521" s="4" t="s">
        <v>561</v>
      </c>
      <c r="J521" s="1" t="s">
        <v>112</v>
      </c>
      <c r="L521" s="1" t="s">
        <v>562</v>
      </c>
    </row>
    <row r="522" customFormat="false" ht="25.5" hidden="false" customHeight="false" outlineLevel="0" collapsed="false">
      <c r="B522" s="4" t="s">
        <v>563</v>
      </c>
      <c r="D522" s="1" t="s">
        <v>29</v>
      </c>
      <c r="E522" s="1" t="s">
        <v>168</v>
      </c>
      <c r="F522" s="1" t="s">
        <v>277</v>
      </c>
      <c r="G522" s="1" t="s">
        <v>39</v>
      </c>
      <c r="H522" s="3" t="s">
        <v>40</v>
      </c>
      <c r="K522" s="1" t="s">
        <v>41</v>
      </c>
    </row>
    <row r="523" customFormat="false" ht="12.75" hidden="false" customHeight="false" outlineLevel="0" collapsed="false">
      <c r="E523" s="1" t="s">
        <v>169</v>
      </c>
      <c r="F523" s="1" t="s">
        <v>16</v>
      </c>
      <c r="G523" s="1" t="s">
        <v>17</v>
      </c>
      <c r="H523" s="3" t="s">
        <v>17</v>
      </c>
      <c r="I523" s="4" t="s">
        <v>564</v>
      </c>
      <c r="J523" s="1" t="s">
        <v>112</v>
      </c>
      <c r="L523" s="1" t="s">
        <v>565</v>
      </c>
    </row>
    <row r="524" customFormat="false" ht="12.75" hidden="false" customHeight="false" outlineLevel="0" collapsed="false">
      <c r="E524" s="1" t="s">
        <v>31</v>
      </c>
      <c r="F524" s="1" t="s">
        <v>123</v>
      </c>
      <c r="G524" s="1" t="s">
        <v>558</v>
      </c>
      <c r="H524" s="13" t="s">
        <v>559</v>
      </c>
      <c r="K524" s="1" t="s">
        <v>125</v>
      </c>
    </row>
    <row r="525" customFormat="false" ht="12.75" hidden="false" customHeight="false" outlineLevel="0" collapsed="false">
      <c r="E525" s="1" t="s">
        <v>363</v>
      </c>
      <c r="F525" s="1" t="s">
        <v>21</v>
      </c>
      <c r="G525" s="1" t="s">
        <v>558</v>
      </c>
      <c r="H525" s="8" t="s">
        <v>566</v>
      </c>
      <c r="K525" s="1" t="s">
        <v>41</v>
      </c>
    </row>
    <row r="526" customFormat="false" ht="12.75" hidden="false" customHeight="false" outlineLevel="0" collapsed="false">
      <c r="E526" s="1" t="s">
        <v>366</v>
      </c>
      <c r="F526" s="1" t="s">
        <v>16</v>
      </c>
      <c r="G526" s="1" t="s">
        <v>17</v>
      </c>
      <c r="H526" s="3" t="s">
        <v>17</v>
      </c>
      <c r="I526" s="4" t="s">
        <v>567</v>
      </c>
      <c r="J526" s="1" t="s">
        <v>112</v>
      </c>
      <c r="L526" s="1" t="s">
        <v>568</v>
      </c>
    </row>
    <row r="527" customFormat="false" ht="25.5" hidden="false" customHeight="false" outlineLevel="0" collapsed="false">
      <c r="B527" s="4" t="s">
        <v>569</v>
      </c>
      <c r="D527" s="1" t="s">
        <v>29</v>
      </c>
      <c r="E527" s="1" t="s">
        <v>168</v>
      </c>
      <c r="F527" s="1" t="s">
        <v>277</v>
      </c>
      <c r="G527" s="1" t="s">
        <v>39</v>
      </c>
      <c r="H527" s="3" t="s">
        <v>40</v>
      </c>
      <c r="K527" s="1" t="s">
        <v>41</v>
      </c>
    </row>
    <row r="528" customFormat="false" ht="12.75" hidden="false" customHeight="false" outlineLevel="0" collapsed="false">
      <c r="E528" s="1" t="s">
        <v>169</v>
      </c>
      <c r="F528" s="1" t="s">
        <v>16</v>
      </c>
      <c r="G528" s="1" t="s">
        <v>17</v>
      </c>
      <c r="H528" s="3" t="s">
        <v>17</v>
      </c>
      <c r="I528" s="4" t="s">
        <v>570</v>
      </c>
      <c r="J528" s="1" t="s">
        <v>112</v>
      </c>
      <c r="L528" s="1" t="s">
        <v>571</v>
      </c>
    </row>
    <row r="529" customFormat="false" ht="12.75" hidden="false" customHeight="false" outlineLevel="0" collapsed="false">
      <c r="E529" s="1" t="s">
        <v>31</v>
      </c>
      <c r="F529" s="1" t="s">
        <v>123</v>
      </c>
      <c r="G529" s="1" t="s">
        <v>558</v>
      </c>
      <c r="H529" s="13" t="s">
        <v>559</v>
      </c>
      <c r="K529" s="1" t="s">
        <v>125</v>
      </c>
    </row>
    <row r="530" customFormat="false" ht="12.75" hidden="false" customHeight="false" outlineLevel="0" collapsed="false">
      <c r="E530" s="1" t="s">
        <v>363</v>
      </c>
      <c r="F530" s="1" t="s">
        <v>21</v>
      </c>
      <c r="G530" s="1" t="s">
        <v>558</v>
      </c>
      <c r="H530" s="8" t="s">
        <v>572</v>
      </c>
      <c r="K530" s="1" t="s">
        <v>41</v>
      </c>
    </row>
    <row r="531" customFormat="false" ht="12.75" hidden="false" customHeight="false" outlineLevel="0" collapsed="false">
      <c r="E531" s="1" t="s">
        <v>366</v>
      </c>
      <c r="F531" s="1" t="s">
        <v>16</v>
      </c>
      <c r="G531" s="1" t="s">
        <v>17</v>
      </c>
      <c r="H531" s="3" t="s">
        <v>17</v>
      </c>
      <c r="I531" s="4" t="s">
        <v>561</v>
      </c>
      <c r="J531" s="1" t="s">
        <v>112</v>
      </c>
      <c r="L531" s="1" t="s">
        <v>562</v>
      </c>
    </row>
    <row r="532" customFormat="false" ht="25.5" hidden="false" customHeight="false" outlineLevel="0" collapsed="false">
      <c r="B532" s="4" t="s">
        <v>573</v>
      </c>
      <c r="D532" s="1" t="s">
        <v>29</v>
      </c>
      <c r="E532" s="1" t="s">
        <v>168</v>
      </c>
      <c r="F532" s="1" t="s">
        <v>277</v>
      </c>
      <c r="G532" s="1" t="s">
        <v>39</v>
      </c>
      <c r="H532" s="3" t="s">
        <v>40</v>
      </c>
      <c r="K532" s="1" t="s">
        <v>41</v>
      </c>
    </row>
    <row r="533" customFormat="false" ht="12.75" hidden="false" customHeight="false" outlineLevel="0" collapsed="false">
      <c r="E533" s="1" t="s">
        <v>169</v>
      </c>
      <c r="F533" s="1" t="s">
        <v>16</v>
      </c>
      <c r="G533" s="1" t="s">
        <v>17</v>
      </c>
      <c r="H533" s="3" t="s">
        <v>17</v>
      </c>
      <c r="I533" s="4" t="s">
        <v>574</v>
      </c>
      <c r="J533" s="1" t="s">
        <v>112</v>
      </c>
      <c r="L533" s="1" t="s">
        <v>575</v>
      </c>
    </row>
    <row r="534" customFormat="false" ht="12.75" hidden="false" customHeight="false" outlineLevel="0" collapsed="false">
      <c r="E534" s="1" t="s">
        <v>31</v>
      </c>
      <c r="F534" s="1" t="s">
        <v>123</v>
      </c>
      <c r="G534" s="1" t="s">
        <v>558</v>
      </c>
      <c r="H534" s="13" t="s">
        <v>559</v>
      </c>
      <c r="K534" s="1" t="s">
        <v>125</v>
      </c>
    </row>
    <row r="535" customFormat="false" ht="12.75" hidden="false" customHeight="false" outlineLevel="0" collapsed="false">
      <c r="E535" s="1" t="s">
        <v>115</v>
      </c>
      <c r="F535" s="1" t="s">
        <v>89</v>
      </c>
      <c r="G535" s="1" t="s">
        <v>558</v>
      </c>
      <c r="H535" s="8" t="s">
        <v>576</v>
      </c>
      <c r="K535" s="1" t="s">
        <v>41</v>
      </c>
    </row>
    <row r="536" customFormat="false" ht="12.75" hidden="false" customHeight="false" outlineLevel="0" collapsed="false">
      <c r="E536" s="1" t="s">
        <v>363</v>
      </c>
      <c r="F536" s="1" t="s">
        <v>21</v>
      </c>
      <c r="G536" s="1" t="s">
        <v>558</v>
      </c>
      <c r="H536" s="8" t="s">
        <v>577</v>
      </c>
    </row>
    <row r="537" customFormat="false" ht="12.75" hidden="false" customHeight="false" outlineLevel="0" collapsed="false">
      <c r="E537" s="1" t="s">
        <v>366</v>
      </c>
      <c r="F537" s="1" t="s">
        <v>16</v>
      </c>
      <c r="G537" s="1" t="s">
        <v>17</v>
      </c>
      <c r="H537" s="3" t="s">
        <v>17</v>
      </c>
      <c r="I537" s="4" t="s">
        <v>578</v>
      </c>
      <c r="J537" s="1" t="s">
        <v>112</v>
      </c>
      <c r="L537" s="1" t="s">
        <v>579</v>
      </c>
    </row>
    <row r="538" customFormat="false" ht="25" hidden="false" customHeight="false" outlineLevel="0" collapsed="false">
      <c r="B538" s="4" t="s">
        <v>580</v>
      </c>
      <c r="D538" s="1" t="s">
        <v>29</v>
      </c>
      <c r="E538" s="1" t="s">
        <v>168</v>
      </c>
      <c r="F538" s="1" t="s">
        <v>277</v>
      </c>
      <c r="G538" s="1" t="s">
        <v>39</v>
      </c>
      <c r="H538" s="3" t="s">
        <v>40</v>
      </c>
      <c r="K538" s="1" t="s">
        <v>41</v>
      </c>
    </row>
    <row r="539" customFormat="false" ht="26.1" hidden="false" customHeight="false" outlineLevel="0" collapsed="false">
      <c r="E539" s="1" t="s">
        <v>169</v>
      </c>
      <c r="F539" s="1" t="s">
        <v>16</v>
      </c>
      <c r="G539" s="1" t="s">
        <v>17</v>
      </c>
      <c r="H539" s="3" t="s">
        <v>17</v>
      </c>
      <c r="I539" s="15" t="n">
        <v>4030384</v>
      </c>
      <c r="J539" s="1" t="s">
        <v>112</v>
      </c>
      <c r="L539" s="16" t="s">
        <v>581</v>
      </c>
    </row>
    <row r="540" customFormat="false" ht="12.75" hidden="false" customHeight="false" outlineLevel="0" collapsed="false">
      <c r="E540" s="1" t="s">
        <v>31</v>
      </c>
      <c r="F540" s="1" t="s">
        <v>123</v>
      </c>
      <c r="G540" s="1" t="s">
        <v>558</v>
      </c>
      <c r="H540" s="13" t="s">
        <v>559</v>
      </c>
      <c r="K540" s="1" t="s">
        <v>125</v>
      </c>
    </row>
    <row r="541" customFormat="false" ht="12.75" hidden="false" customHeight="false" outlineLevel="0" collapsed="false">
      <c r="E541" s="1" t="s">
        <v>115</v>
      </c>
      <c r="F541" s="1" t="s">
        <v>89</v>
      </c>
      <c r="G541" s="1" t="s">
        <v>558</v>
      </c>
      <c r="H541" s="8" t="s">
        <v>582</v>
      </c>
      <c r="K541" s="1" t="s">
        <v>41</v>
      </c>
    </row>
    <row r="542" customFormat="false" ht="12.75" hidden="false" customHeight="false" outlineLevel="0" collapsed="false">
      <c r="E542" s="1" t="s">
        <v>363</v>
      </c>
      <c r="F542" s="1" t="s">
        <v>21</v>
      </c>
      <c r="G542" s="1" t="s">
        <v>558</v>
      </c>
      <c r="H542" s="8" t="s">
        <v>583</v>
      </c>
    </row>
    <row r="543" customFormat="false" ht="12.75" hidden="false" customHeight="false" outlineLevel="0" collapsed="false">
      <c r="E543" s="1" t="s">
        <v>366</v>
      </c>
      <c r="F543" s="1" t="s">
        <v>16</v>
      </c>
      <c r="G543" s="1" t="s">
        <v>17</v>
      </c>
      <c r="H543" s="3" t="s">
        <v>17</v>
      </c>
      <c r="I543" s="4" t="s">
        <v>578</v>
      </c>
      <c r="J543" s="1" t="s">
        <v>112</v>
      </c>
      <c r="L543" s="1" t="s">
        <v>579</v>
      </c>
    </row>
    <row r="544" customFormat="false" ht="25.5" hidden="false" customHeight="false" outlineLevel="0" collapsed="false">
      <c r="B544" s="4" t="s">
        <v>584</v>
      </c>
      <c r="D544" s="1" t="s">
        <v>29</v>
      </c>
      <c r="E544" s="1" t="s">
        <v>168</v>
      </c>
      <c r="F544" s="1" t="s">
        <v>277</v>
      </c>
      <c r="G544" s="1" t="s">
        <v>39</v>
      </c>
      <c r="H544" s="3" t="s">
        <v>40</v>
      </c>
      <c r="K544" s="1" t="s">
        <v>41</v>
      </c>
    </row>
    <row r="545" customFormat="false" ht="12.75" hidden="false" customHeight="false" outlineLevel="0" collapsed="false">
      <c r="E545" s="1" t="s">
        <v>169</v>
      </c>
      <c r="F545" s="1" t="s">
        <v>16</v>
      </c>
      <c r="G545" s="1" t="s">
        <v>17</v>
      </c>
      <c r="H545" s="3" t="s">
        <v>17</v>
      </c>
      <c r="I545" s="4" t="s">
        <v>585</v>
      </c>
      <c r="J545" s="1" t="s">
        <v>177</v>
      </c>
      <c r="L545" s="1" t="s">
        <v>586</v>
      </c>
    </row>
    <row r="546" customFormat="false" ht="12.75" hidden="false" customHeight="false" outlineLevel="0" collapsed="false">
      <c r="E546" s="1" t="s">
        <v>31</v>
      </c>
      <c r="F546" s="1" t="s">
        <v>123</v>
      </c>
      <c r="G546" s="1" t="s">
        <v>558</v>
      </c>
      <c r="H546" s="13" t="s">
        <v>559</v>
      </c>
      <c r="K546" s="1" t="s">
        <v>125</v>
      </c>
    </row>
    <row r="547" customFormat="false" ht="12.75" hidden="false" customHeight="false" outlineLevel="0" collapsed="false">
      <c r="E547" s="1" t="s">
        <v>115</v>
      </c>
      <c r="F547" s="1" t="s">
        <v>89</v>
      </c>
      <c r="G547" s="1" t="s">
        <v>558</v>
      </c>
      <c r="H547" s="8" t="s">
        <v>587</v>
      </c>
      <c r="K547" s="1" t="s">
        <v>41</v>
      </c>
    </row>
    <row r="548" customFormat="false" ht="25.5" hidden="false" customHeight="false" outlineLevel="0" collapsed="false">
      <c r="B548" s="4" t="s">
        <v>588</v>
      </c>
      <c r="D548" s="1" t="s">
        <v>29</v>
      </c>
      <c r="E548" s="1" t="s">
        <v>168</v>
      </c>
      <c r="F548" s="1" t="s">
        <v>277</v>
      </c>
      <c r="G548" s="1" t="s">
        <v>39</v>
      </c>
      <c r="H548" s="3" t="s">
        <v>40</v>
      </c>
      <c r="K548" s="1" t="s">
        <v>41</v>
      </c>
    </row>
    <row r="549" customFormat="false" ht="12.75" hidden="false" customHeight="false" outlineLevel="0" collapsed="false">
      <c r="E549" s="1" t="s">
        <v>169</v>
      </c>
      <c r="F549" s="1" t="s">
        <v>16</v>
      </c>
      <c r="G549" s="1" t="s">
        <v>17</v>
      </c>
      <c r="H549" s="3" t="s">
        <v>17</v>
      </c>
      <c r="I549" s="4" t="s">
        <v>589</v>
      </c>
      <c r="J549" s="1" t="s">
        <v>177</v>
      </c>
      <c r="L549" s="1" t="s">
        <v>590</v>
      </c>
    </row>
    <row r="550" customFormat="false" ht="12.75" hidden="false" customHeight="false" outlineLevel="0" collapsed="false">
      <c r="E550" s="1" t="s">
        <v>31</v>
      </c>
      <c r="F550" s="1" t="s">
        <v>123</v>
      </c>
      <c r="G550" s="1" t="s">
        <v>558</v>
      </c>
      <c r="H550" s="13" t="s">
        <v>559</v>
      </c>
      <c r="K550" s="1" t="s">
        <v>125</v>
      </c>
    </row>
    <row r="551" customFormat="false" ht="12.75" hidden="false" customHeight="false" outlineLevel="0" collapsed="false">
      <c r="E551" s="1" t="s">
        <v>115</v>
      </c>
      <c r="F551" s="1" t="s">
        <v>89</v>
      </c>
      <c r="G551" s="1" t="s">
        <v>558</v>
      </c>
      <c r="H551" s="8" t="s">
        <v>591</v>
      </c>
      <c r="K551" s="1" t="s">
        <v>41</v>
      </c>
    </row>
    <row r="552" customFormat="false" ht="24.95" hidden="false" customHeight="false" outlineLevel="0" collapsed="false">
      <c r="B552" s="4" t="s">
        <v>592</v>
      </c>
      <c r="D552" s="1" t="s">
        <v>14</v>
      </c>
      <c r="E552" s="1" t="s">
        <v>110</v>
      </c>
      <c r="F552" s="1" t="s">
        <v>277</v>
      </c>
      <c r="G552" s="1" t="s">
        <v>39</v>
      </c>
      <c r="H552" s="3" t="s">
        <v>40</v>
      </c>
      <c r="K552" s="1" t="s">
        <v>41</v>
      </c>
    </row>
    <row r="553" customFormat="false" ht="12.75" hidden="false" customHeight="false" outlineLevel="0" collapsed="false">
      <c r="E553" s="1" t="s">
        <v>111</v>
      </c>
      <c r="F553" s="1" t="s">
        <v>16</v>
      </c>
      <c r="G553" s="1" t="s">
        <v>17</v>
      </c>
      <c r="H553" s="3" t="s">
        <v>17</v>
      </c>
      <c r="I553" s="4" t="s">
        <v>593</v>
      </c>
      <c r="J553" s="1" t="s">
        <v>112</v>
      </c>
      <c r="L553" s="1" t="s">
        <v>594</v>
      </c>
    </row>
    <row r="554" customFormat="false" ht="12.75" hidden="false" customHeight="false" outlineLevel="0" collapsed="false">
      <c r="E554" s="1" t="s">
        <v>20</v>
      </c>
      <c r="F554" s="1" t="s">
        <v>123</v>
      </c>
      <c r="G554" s="1" t="s">
        <v>558</v>
      </c>
      <c r="H554" s="13" t="s">
        <v>559</v>
      </c>
      <c r="K554" s="1" t="s">
        <v>125</v>
      </c>
    </row>
    <row r="555" customFormat="false" ht="12.75" hidden="false" customHeight="false" outlineLevel="0" collapsed="false">
      <c r="E555" s="1" t="s">
        <v>115</v>
      </c>
      <c r="F555" s="1" t="s">
        <v>89</v>
      </c>
      <c r="G555" s="1" t="s">
        <v>558</v>
      </c>
      <c r="H555" s="8" t="s">
        <v>595</v>
      </c>
      <c r="K555" s="1" t="s">
        <v>41</v>
      </c>
    </row>
    <row r="556" customFormat="false" ht="12.75" hidden="false" customHeight="false" outlineLevel="0" collapsed="false">
      <c r="E556" s="1" t="s">
        <v>216</v>
      </c>
      <c r="F556" s="1" t="s">
        <v>16</v>
      </c>
      <c r="G556" s="1" t="s">
        <v>17</v>
      </c>
      <c r="H556" s="1" t="s">
        <v>17</v>
      </c>
      <c r="I556" s="2" t="s">
        <v>596</v>
      </c>
      <c r="J556" s="1" t="s">
        <v>112</v>
      </c>
      <c r="L556" s="1" t="s">
        <v>597</v>
      </c>
    </row>
    <row r="557" customFormat="false" ht="25" hidden="false" customHeight="false" outlineLevel="0" collapsed="false">
      <c r="B557" s="4" t="s">
        <v>598</v>
      </c>
      <c r="D557" s="1" t="s">
        <v>14</v>
      </c>
      <c r="E557" s="1" t="s">
        <v>110</v>
      </c>
      <c r="F557" s="1" t="s">
        <v>277</v>
      </c>
      <c r="G557" s="1" t="s">
        <v>39</v>
      </c>
      <c r="H557" s="3" t="s">
        <v>40</v>
      </c>
      <c r="K557" s="1" t="s">
        <v>41</v>
      </c>
    </row>
    <row r="558" customFormat="false" ht="12.75" hidden="false" customHeight="false" outlineLevel="0" collapsed="false">
      <c r="E558" s="1" t="s">
        <v>111</v>
      </c>
      <c r="F558" s="1" t="s">
        <v>16</v>
      </c>
      <c r="G558" s="1" t="s">
        <v>17</v>
      </c>
      <c r="H558" s="3" t="s">
        <v>17</v>
      </c>
      <c r="I558" s="4" t="s">
        <v>593</v>
      </c>
      <c r="J558" s="1" t="s">
        <v>112</v>
      </c>
      <c r="L558" s="1" t="s">
        <v>594</v>
      </c>
    </row>
    <row r="559" customFormat="false" ht="12.75" hidden="false" customHeight="false" outlineLevel="0" collapsed="false">
      <c r="E559" s="1" t="s">
        <v>20</v>
      </c>
      <c r="F559" s="1" t="s">
        <v>123</v>
      </c>
      <c r="G559" s="1" t="s">
        <v>558</v>
      </c>
      <c r="H559" s="13" t="s">
        <v>559</v>
      </c>
      <c r="K559" s="1" t="s">
        <v>125</v>
      </c>
    </row>
    <row r="560" customFormat="false" ht="12.75" hidden="false" customHeight="false" outlineLevel="0" collapsed="false">
      <c r="E560" s="1" t="s">
        <v>115</v>
      </c>
      <c r="F560" s="1" t="s">
        <v>89</v>
      </c>
      <c r="G560" s="1" t="s">
        <v>558</v>
      </c>
      <c r="H560" s="8" t="s">
        <v>599</v>
      </c>
      <c r="K560" s="1" t="s">
        <v>41</v>
      </c>
    </row>
    <row r="561" customFormat="false" ht="13.8" hidden="false" customHeight="false" outlineLevel="0" collapsed="false">
      <c r="E561" s="1" t="s">
        <v>216</v>
      </c>
      <c r="F561" s="1" t="s">
        <v>16</v>
      </c>
      <c r="G561" s="1" t="s">
        <v>17</v>
      </c>
      <c r="H561" s="1" t="s">
        <v>17</v>
      </c>
      <c r="I561" s="15" t="n">
        <v>4120014</v>
      </c>
      <c r="J561" s="1" t="s">
        <v>112</v>
      </c>
      <c r="L561" s="1" t="s">
        <v>600</v>
      </c>
    </row>
    <row r="562" customFormat="false" ht="25" hidden="false" customHeight="false" outlineLevel="0" collapsed="false">
      <c r="A562" s="3" t="s">
        <v>601</v>
      </c>
      <c r="B562" s="4" t="s">
        <v>602</v>
      </c>
      <c r="D562" s="1" t="s">
        <v>29</v>
      </c>
      <c r="E562" s="1" t="s">
        <v>168</v>
      </c>
      <c r="F562" s="1" t="s">
        <v>277</v>
      </c>
      <c r="G562" s="1" t="s">
        <v>39</v>
      </c>
      <c r="H562" s="3" t="s">
        <v>40</v>
      </c>
      <c r="K562" s="1" t="s">
        <v>41</v>
      </c>
    </row>
    <row r="563" customFormat="false" ht="13.8" hidden="false" customHeight="false" outlineLevel="0" collapsed="false">
      <c r="E563" s="1" t="s">
        <v>169</v>
      </c>
      <c r="F563" s="1" t="s">
        <v>16</v>
      </c>
      <c r="G563" s="1" t="s">
        <v>17</v>
      </c>
      <c r="H563" s="3" t="s">
        <v>17</v>
      </c>
      <c r="I563" s="16" t="n">
        <v>4194639</v>
      </c>
      <c r="J563" s="1" t="s">
        <v>112</v>
      </c>
      <c r="L563" s="1" t="s">
        <v>603</v>
      </c>
    </row>
    <row r="564" customFormat="false" ht="12.75" hidden="false" customHeight="false" outlineLevel="0" collapsed="false">
      <c r="E564" s="1" t="s">
        <v>20</v>
      </c>
      <c r="F564" s="1" t="s">
        <v>123</v>
      </c>
      <c r="G564" s="1" t="s">
        <v>558</v>
      </c>
      <c r="H564" s="13" t="s">
        <v>559</v>
      </c>
      <c r="K564" s="1" t="s">
        <v>125</v>
      </c>
    </row>
    <row r="565" customFormat="false" ht="12.75" hidden="false" customHeight="false" outlineLevel="0" collapsed="false">
      <c r="E565" s="1" t="s">
        <v>115</v>
      </c>
      <c r="F565" s="1" t="s">
        <v>279</v>
      </c>
      <c r="G565" s="1" t="s">
        <v>558</v>
      </c>
      <c r="H565" s="8" t="s">
        <v>604</v>
      </c>
      <c r="K565" s="1" t="s">
        <v>41</v>
      </c>
    </row>
    <row r="566" customFormat="false" ht="12.75" hidden="false" customHeight="false" outlineLevel="0" collapsed="false">
      <c r="E566" s="1" t="s">
        <v>118</v>
      </c>
      <c r="F566" s="1" t="s">
        <v>283</v>
      </c>
      <c r="G566" s="1" t="s">
        <v>558</v>
      </c>
      <c r="H566" s="8" t="s">
        <v>604</v>
      </c>
    </row>
    <row r="567" customFormat="false" ht="25.5" hidden="false" customHeight="false" outlineLevel="0" collapsed="false">
      <c r="A567" s="3" t="s">
        <v>605</v>
      </c>
      <c r="B567" s="4" t="s">
        <v>606</v>
      </c>
      <c r="D567" s="1" t="s">
        <v>14</v>
      </c>
      <c r="E567" s="1" t="s">
        <v>110</v>
      </c>
      <c r="F567" s="1" t="s">
        <v>277</v>
      </c>
      <c r="G567" s="1" t="s">
        <v>39</v>
      </c>
      <c r="H567" s="3" t="s">
        <v>40</v>
      </c>
      <c r="K567" s="1" t="s">
        <v>41</v>
      </c>
    </row>
    <row r="568" customFormat="false" ht="12.75" hidden="false" customHeight="false" outlineLevel="0" collapsed="false">
      <c r="E568" s="1" t="s">
        <v>111</v>
      </c>
      <c r="F568" s="1" t="s">
        <v>16</v>
      </c>
      <c r="G568" s="1" t="s">
        <v>17</v>
      </c>
      <c r="H568" s="3" t="s">
        <v>17</v>
      </c>
      <c r="I568" s="4" t="s">
        <v>607</v>
      </c>
      <c r="J568" s="1" t="s">
        <v>184</v>
      </c>
      <c r="L568" s="1" t="s">
        <v>608</v>
      </c>
    </row>
    <row r="569" customFormat="false" ht="12.75" hidden="false" customHeight="false" outlineLevel="0" collapsed="false">
      <c r="E569" s="1" t="s">
        <v>115</v>
      </c>
      <c r="F569" s="1" t="s">
        <v>89</v>
      </c>
      <c r="G569" s="1" t="s">
        <v>609</v>
      </c>
      <c r="H569" s="8" t="s">
        <v>610</v>
      </c>
    </row>
    <row r="570" customFormat="false" ht="12.75" hidden="false" customHeight="false" outlineLevel="0" collapsed="false">
      <c r="E570" s="1" t="s">
        <v>118</v>
      </c>
      <c r="F570" s="1" t="s">
        <v>21</v>
      </c>
      <c r="G570" s="1" t="s">
        <v>609</v>
      </c>
      <c r="H570" s="8" t="s">
        <v>610</v>
      </c>
    </row>
    <row r="571" customFormat="false" ht="12.75" hidden="false" customHeight="false" outlineLevel="0" collapsed="false">
      <c r="D571" s="1" t="s">
        <v>64</v>
      </c>
      <c r="E571" s="1" t="s">
        <v>611</v>
      </c>
      <c r="F571" s="1" t="s">
        <v>292</v>
      </c>
      <c r="G571" s="1" t="s">
        <v>39</v>
      </c>
      <c r="H571" s="3" t="s">
        <v>40</v>
      </c>
      <c r="I571" s="2" t="str">
        <f aca="false">$B$567</f>
        <v>OMOP Tobacco Smoking Status Observation</v>
      </c>
    </row>
    <row r="572" customFormat="false" ht="25.5" hidden="false" customHeight="false" outlineLevel="0" collapsed="false">
      <c r="B572" s="4" t="s">
        <v>612</v>
      </c>
      <c r="D572" s="1" t="s">
        <v>14</v>
      </c>
      <c r="E572" s="1" t="s">
        <v>110</v>
      </c>
      <c r="F572" s="1" t="s">
        <v>277</v>
      </c>
      <c r="G572" s="1" t="s">
        <v>39</v>
      </c>
      <c r="H572" s="3" t="s">
        <v>40</v>
      </c>
      <c r="K572" s="1" t="s">
        <v>41</v>
      </c>
    </row>
    <row r="573" customFormat="false" ht="12.75" hidden="false" customHeight="false" outlineLevel="0" collapsed="false">
      <c r="E573" s="1" t="s">
        <v>111</v>
      </c>
      <c r="F573" s="1" t="s">
        <v>16</v>
      </c>
      <c r="G573" s="1" t="s">
        <v>17</v>
      </c>
      <c r="H573" s="3" t="s">
        <v>17</v>
      </c>
      <c r="I573" s="4" t="s">
        <v>613</v>
      </c>
      <c r="J573" s="1" t="s">
        <v>112</v>
      </c>
      <c r="L573" s="1" t="s">
        <v>614</v>
      </c>
    </row>
    <row r="574" customFormat="false" ht="12.75" hidden="false" customHeight="false" outlineLevel="0" collapsed="false">
      <c r="E574" s="1" t="s">
        <v>189</v>
      </c>
      <c r="F574" s="1" t="s">
        <v>292</v>
      </c>
      <c r="G574" s="1" t="s">
        <v>39</v>
      </c>
      <c r="H574" s="3" t="s">
        <v>40</v>
      </c>
      <c r="I574" s="2" t="str">
        <f aca="false">$B$567</f>
        <v>OMOP Tobacco Smoking Status Observation</v>
      </c>
      <c r="K574" s="1" t="s">
        <v>41</v>
      </c>
    </row>
    <row r="575" customFormat="false" ht="12.75" hidden="false" customHeight="false" outlineLevel="0" collapsed="false">
      <c r="E575" s="1" t="s">
        <v>190</v>
      </c>
      <c r="F575" s="1" t="s">
        <v>16</v>
      </c>
      <c r="G575" s="1" t="s">
        <v>17</v>
      </c>
      <c r="H575" s="3" t="s">
        <v>17</v>
      </c>
      <c r="I575" s="4" t="s">
        <v>615</v>
      </c>
      <c r="J575" s="1" t="s">
        <v>56</v>
      </c>
      <c r="L575" s="1" t="s">
        <v>616</v>
      </c>
    </row>
    <row r="576" customFormat="false" ht="12.75" hidden="false" customHeight="false" outlineLevel="0" collapsed="false">
      <c r="E576" s="1" t="s">
        <v>363</v>
      </c>
      <c r="F576" s="1" t="s">
        <v>21</v>
      </c>
      <c r="G576" s="1" t="s">
        <v>609</v>
      </c>
      <c r="H576" s="8" t="s">
        <v>617</v>
      </c>
      <c r="K576" s="1" t="s">
        <v>41</v>
      </c>
    </row>
    <row r="577" customFormat="false" ht="25.5" hidden="false" customHeight="false" outlineLevel="0" collapsed="false">
      <c r="A577" s="3" t="s">
        <v>618</v>
      </c>
      <c r="B577" s="4" t="s">
        <v>619</v>
      </c>
      <c r="D577" s="1" t="s">
        <v>14</v>
      </c>
      <c r="E577" s="1" t="s">
        <v>110</v>
      </c>
      <c r="F577" s="1" t="s">
        <v>277</v>
      </c>
      <c r="G577" s="1" t="s">
        <v>39</v>
      </c>
      <c r="H577" s="3" t="s">
        <v>40</v>
      </c>
      <c r="K577" s="1" t="s">
        <v>41</v>
      </c>
    </row>
    <row r="578" customFormat="false" ht="12.75" hidden="false" customHeight="false" outlineLevel="0" collapsed="false">
      <c r="E578" s="1" t="s">
        <v>111</v>
      </c>
      <c r="F578" s="1" t="s">
        <v>16</v>
      </c>
      <c r="G578" s="1" t="s">
        <v>17</v>
      </c>
      <c r="H578" s="3" t="s">
        <v>17</v>
      </c>
      <c r="I578" s="4" t="s">
        <v>620</v>
      </c>
      <c r="J578" s="1" t="s">
        <v>112</v>
      </c>
      <c r="L578" s="1" t="s">
        <v>621</v>
      </c>
    </row>
    <row r="579" customFormat="false" ht="12.75" hidden="false" customHeight="false" outlineLevel="0" collapsed="false">
      <c r="E579" s="1" t="s">
        <v>189</v>
      </c>
      <c r="F579" s="1" t="s">
        <v>21</v>
      </c>
      <c r="G579" s="1" t="s">
        <v>17</v>
      </c>
      <c r="H579" s="4" t="s">
        <v>17</v>
      </c>
      <c r="I579" s="1" t="s">
        <v>611</v>
      </c>
    </row>
    <row r="580" customFormat="false" ht="12.75" hidden="false" customHeight="false" outlineLevel="0" collapsed="false">
      <c r="E580" s="1" t="s">
        <v>190</v>
      </c>
      <c r="F580" s="1" t="s">
        <v>16</v>
      </c>
      <c r="G580" s="1" t="s">
        <v>17</v>
      </c>
      <c r="H580" s="3" t="s">
        <v>17</v>
      </c>
      <c r="I580" s="4" t="s">
        <v>615</v>
      </c>
      <c r="J580" s="1" t="s">
        <v>56</v>
      </c>
      <c r="L580" s="1" t="s">
        <v>616</v>
      </c>
    </row>
    <row r="581" customFormat="false" ht="12.75" hidden="false" customHeight="false" outlineLevel="0" collapsed="false">
      <c r="E581" s="1" t="s">
        <v>115</v>
      </c>
      <c r="F581" s="1" t="s">
        <v>279</v>
      </c>
      <c r="G581" s="1" t="s">
        <v>609</v>
      </c>
      <c r="H581" s="8" t="s">
        <v>622</v>
      </c>
    </row>
    <row r="582" customFormat="false" ht="12.75" hidden="false" customHeight="false" outlineLevel="0" collapsed="false">
      <c r="E582" s="1" t="s">
        <v>118</v>
      </c>
      <c r="F582" s="1" t="s">
        <v>283</v>
      </c>
      <c r="G582" s="1" t="s">
        <v>17</v>
      </c>
      <c r="H582" s="3" t="s">
        <v>17</v>
      </c>
    </row>
    <row r="583" customFormat="false" ht="12.75" hidden="false" customHeight="false" outlineLevel="0" collapsed="false">
      <c r="A583" s="3" t="s">
        <v>623</v>
      </c>
      <c r="B583" s="4" t="s">
        <v>624</v>
      </c>
      <c r="D583" s="1" t="s">
        <v>34</v>
      </c>
      <c r="E583" s="1" t="s">
        <v>138</v>
      </c>
      <c r="F583" s="1" t="s">
        <v>277</v>
      </c>
      <c r="G583" s="1" t="s">
        <v>39</v>
      </c>
      <c r="H583" s="3" t="s">
        <v>40</v>
      </c>
    </row>
    <row r="584" customFormat="false" ht="12.75" hidden="false" customHeight="false" outlineLevel="0" collapsed="false">
      <c r="E584" s="1" t="s">
        <v>140</v>
      </c>
      <c r="F584" s="1" t="s">
        <v>141</v>
      </c>
      <c r="G584" s="1" t="s">
        <v>625</v>
      </c>
      <c r="H584" s="8" t="s">
        <v>626</v>
      </c>
      <c r="J584" s="1" t="s">
        <v>143</v>
      </c>
      <c r="K584" s="1" t="s">
        <v>92</v>
      </c>
    </row>
    <row r="585" customFormat="false" ht="12.75" hidden="false" customHeight="false" outlineLevel="0" collapsed="false">
      <c r="E585" s="1" t="s">
        <v>145</v>
      </c>
      <c r="F585" s="1" t="s">
        <v>21</v>
      </c>
      <c r="G585" s="1" t="s">
        <v>625</v>
      </c>
      <c r="H585" s="8" t="s">
        <v>626</v>
      </c>
    </row>
    <row r="586" customFormat="false" ht="12.75" hidden="false" customHeight="false" outlineLevel="0" collapsed="false">
      <c r="E586" s="1" t="s">
        <v>147</v>
      </c>
      <c r="F586" s="1" t="s">
        <v>627</v>
      </c>
      <c r="G586" s="1" t="s">
        <v>625</v>
      </c>
      <c r="H586" s="8" t="s">
        <v>628</v>
      </c>
      <c r="K586" s="1" t="s">
        <v>125</v>
      </c>
    </row>
    <row r="587" customFormat="false" ht="12.75" hidden="false" customHeight="false" outlineLevel="0" collapsed="false">
      <c r="E587" s="1" t="s">
        <v>149</v>
      </c>
      <c r="F587" s="1" t="s">
        <v>89</v>
      </c>
      <c r="G587" s="1" t="s">
        <v>625</v>
      </c>
      <c r="H587" s="8" t="s">
        <v>629</v>
      </c>
    </row>
    <row r="588" customFormat="false" ht="12.75" hidden="false" customHeight="false" outlineLevel="0" collapsed="false">
      <c r="E588" s="1" t="s">
        <v>630</v>
      </c>
      <c r="F588" s="1" t="s">
        <v>21</v>
      </c>
      <c r="G588" s="1" t="s">
        <v>625</v>
      </c>
      <c r="H588" s="8" t="s">
        <v>629</v>
      </c>
    </row>
    <row r="589" customFormat="false" ht="25.5" hidden="false" customHeight="false" outlineLevel="0" collapsed="false">
      <c r="B589" s="4" t="s">
        <v>631</v>
      </c>
      <c r="D589" s="1" t="s">
        <v>29</v>
      </c>
      <c r="E589" s="1" t="s">
        <v>168</v>
      </c>
      <c r="F589" s="1" t="s">
        <v>277</v>
      </c>
      <c r="G589" s="1" t="s">
        <v>39</v>
      </c>
      <c r="H589" s="3" t="s">
        <v>40</v>
      </c>
    </row>
    <row r="590" customFormat="false" ht="12.75" hidden="false" customHeight="false" outlineLevel="0" collapsed="false">
      <c r="E590" s="1" t="s">
        <v>169</v>
      </c>
      <c r="F590" s="1" t="s">
        <v>16</v>
      </c>
      <c r="G590" s="1" t="s">
        <v>17</v>
      </c>
      <c r="H590" s="3" t="s">
        <v>17</v>
      </c>
      <c r="I590" s="4" t="s">
        <v>176</v>
      </c>
      <c r="J590" s="1" t="s">
        <v>177</v>
      </c>
    </row>
    <row r="591" customFormat="false" ht="12.75" hidden="false" customHeight="false" outlineLevel="0" collapsed="false">
      <c r="E591" s="1" t="s">
        <v>43</v>
      </c>
      <c r="F591" s="1" t="s">
        <v>38</v>
      </c>
      <c r="G591" s="1" t="s">
        <v>625</v>
      </c>
      <c r="H591" s="3" t="s">
        <v>623</v>
      </c>
      <c r="I591" s="2" t="str">
        <f aca="false">$B$583</f>
        <v>OMOP Comorbidity Condition</v>
      </c>
    </row>
    <row r="592" customFormat="false" ht="12.75" hidden="false" customHeight="false" outlineLevel="0" collapsed="false">
      <c r="E592" s="1" t="s">
        <v>53</v>
      </c>
      <c r="F592" s="1" t="s">
        <v>16</v>
      </c>
      <c r="G592" s="1" t="s">
        <v>17</v>
      </c>
      <c r="H592" s="3" t="s">
        <v>17</v>
      </c>
      <c r="I592" s="2" t="n">
        <v>1147127</v>
      </c>
      <c r="J592" s="1" t="s">
        <v>56</v>
      </c>
    </row>
    <row r="593" customFormat="false" ht="12.75" hidden="false" customHeight="false" outlineLevel="0" collapsed="false">
      <c r="E593" s="1" t="s">
        <v>115</v>
      </c>
      <c r="F593" s="1" t="s">
        <v>89</v>
      </c>
      <c r="G593" s="1" t="s">
        <v>625</v>
      </c>
      <c r="H593" s="8" t="s">
        <v>632</v>
      </c>
    </row>
    <row r="594" customFormat="false" ht="12.75" hidden="false" customHeight="false" outlineLevel="0" collapsed="false">
      <c r="E594" s="1" t="s">
        <v>118</v>
      </c>
      <c r="F594" s="1" t="s">
        <v>21</v>
      </c>
      <c r="G594" s="1" t="s">
        <v>625</v>
      </c>
      <c r="H594" s="8" t="s">
        <v>632</v>
      </c>
    </row>
    <row r="595" customFormat="false" ht="25.5" hidden="false" customHeight="false" outlineLevel="0" collapsed="false">
      <c r="B595" s="4" t="s">
        <v>633</v>
      </c>
      <c r="C595" s="1" t="s">
        <v>634</v>
      </c>
      <c r="G595" s="17" t="s">
        <v>625</v>
      </c>
      <c r="H595" s="12" t="s">
        <v>635</v>
      </c>
    </row>
    <row r="596" customFormat="false" ht="12.75" hidden="false" customHeight="false" outlineLevel="0" collapsed="false">
      <c r="G596" s="17" t="s">
        <v>625</v>
      </c>
      <c r="H596" s="9" t="s">
        <v>636</v>
      </c>
    </row>
    <row r="597" customFormat="false" ht="12.75" hidden="false" customHeight="false" outlineLevel="0" collapsed="false">
      <c r="H597" s="8"/>
    </row>
    <row r="598" customFormat="false" ht="12.75" hidden="false" customHeight="false" outlineLevel="0" collapsed="false">
      <c r="H598" s="8"/>
    </row>
    <row r="601" customFormat="false" ht="25.5" hidden="false" customHeight="false" outlineLevel="0" collapsed="false">
      <c r="B601" s="4" t="s">
        <v>637</v>
      </c>
      <c r="G601" s="17" t="s">
        <v>638</v>
      </c>
      <c r="H601" s="9" t="s">
        <v>46</v>
      </c>
    </row>
    <row r="602" customFormat="false" ht="12.75" hidden="false" customHeight="false" outlineLevel="0" collapsed="false">
      <c r="G602" s="17" t="s">
        <v>638</v>
      </c>
      <c r="H602" s="9" t="s">
        <v>639</v>
      </c>
    </row>
    <row r="603" customFormat="false" ht="12.75" hidden="false" customHeight="false" outlineLevel="0" collapsed="false">
      <c r="G603" s="17" t="s">
        <v>638</v>
      </c>
      <c r="H603" s="9" t="s">
        <v>640</v>
      </c>
    </row>
    <row r="604" customFormat="false" ht="12.75" hidden="false" customHeight="false" outlineLevel="0" collapsed="false">
      <c r="G604" s="17" t="s">
        <v>638</v>
      </c>
      <c r="H604" s="9" t="s">
        <v>641</v>
      </c>
    </row>
    <row r="605" customFormat="false" ht="12.75" hidden="false" customHeight="false" outlineLevel="0" collapsed="false">
      <c r="G605" s="17" t="s">
        <v>638</v>
      </c>
      <c r="H605" s="9" t="s">
        <v>642</v>
      </c>
    </row>
    <row r="606" customFormat="false" ht="12.75" hidden="false" customHeight="false" outlineLevel="0" collapsed="false">
      <c r="G606" s="17" t="s">
        <v>638</v>
      </c>
      <c r="H606" s="9" t="s">
        <v>643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LibreOffice/24.2.0.3$MacOSX_AARCH64 LibreOffice_project/da48488a73ddd66ea24cf16bbc4f7b9c08e9bea1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2025-06-02T15:05:46Z</dcterms:created>
  <dc:creator>Liu, Justin</dc:creator>
  <dc:description/>
  <dc:language>en-CA</dc:language>
  <cp:lastModifiedBy/>
  <cp:lastPrinted>2025-11-03T16:33:46Z</cp:lastPrinted>
  <dcterms:modified xsi:type="dcterms:W3CDTF">2026-02-24T13:47:22Z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