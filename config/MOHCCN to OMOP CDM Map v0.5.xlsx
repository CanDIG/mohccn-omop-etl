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erverfiles\projects\dhdp\mohccn-omop-etl\config\"/>
    </mc:Choice>
  </mc:AlternateContent>
  <xr:revisionPtr revIDLastSave="0" documentId="13_ncr:1_{8AD64129-D1F8-4DAE-921D-C11AC951EB19}" xr6:coauthVersionLast="47" xr6:coauthVersionMax="47" xr10:uidLastSave="{00000000-0000-0000-0000-000000000000}"/>
  <bookViews>
    <workbookView xWindow="-120" yWindow="-120" windowWidth="29040" windowHeight="17520" xr2:uid="{5959937F-EF1A-4EF7-9756-DEAA4796FC13}"/>
  </bookViews>
  <sheets>
    <sheet name="Transformation Mode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8" i="2" l="1"/>
  <c r="I507" i="2"/>
  <c r="I481" i="2"/>
  <c r="I480" i="2"/>
  <c r="I503" i="2"/>
  <c r="I497" i="2"/>
  <c r="I491" i="2"/>
  <c r="I476" i="2"/>
  <c r="I470" i="2"/>
  <c r="I464" i="2"/>
  <c r="I17" i="2"/>
  <c r="I11" i="2"/>
  <c r="I553" i="2"/>
  <c r="I445" i="2"/>
  <c r="I439" i="2"/>
  <c r="I12" i="2"/>
  <c r="I19" i="2"/>
  <c r="I18" i="2"/>
  <c r="I16" i="2"/>
  <c r="I15" i="2"/>
  <c r="I14" i="2"/>
  <c r="I13" i="2"/>
  <c r="I421" i="2"/>
  <c r="I424" i="2"/>
  <c r="I195" i="2"/>
  <c r="I196" i="2"/>
  <c r="I203" i="2"/>
  <c r="I204" i="2"/>
  <c r="I23" i="2"/>
  <c r="I20" i="2"/>
  <c r="I21" i="2"/>
  <c r="I22" i="2"/>
  <c r="I451" i="2"/>
  <c r="I565" i="2"/>
  <c r="I548" i="2"/>
  <c r="I425" i="2"/>
  <c r="I422" i="2"/>
  <c r="I417" i="2"/>
  <c r="I410" i="2"/>
  <c r="I403" i="2"/>
  <c r="I394" i="2"/>
  <c r="I387" i="2"/>
  <c r="I350" i="2"/>
  <c r="I343" i="2"/>
  <c r="I373" i="2"/>
  <c r="I365" i="2"/>
  <c r="I357" i="2"/>
  <c r="I336" i="2"/>
  <c r="I329" i="2"/>
  <c r="I322" i="2"/>
  <c r="I315" i="2"/>
  <c r="I308" i="2"/>
  <c r="I301" i="2"/>
  <c r="I294" i="2"/>
  <c r="I289" i="2"/>
  <c r="I288" i="2"/>
  <c r="I282" i="2"/>
  <c r="I281" i="2"/>
  <c r="I236" i="2"/>
  <c r="I235" i="2"/>
  <c r="I273" i="2"/>
  <c r="I272" i="2"/>
  <c r="I263" i="2"/>
  <c r="I257" i="2"/>
  <c r="I250" i="2"/>
  <c r="I227" i="2"/>
  <c r="I226" i="2"/>
  <c r="I245" i="2"/>
  <c r="I244" i="2"/>
  <c r="I215" i="2"/>
  <c r="I216" i="2"/>
  <c r="I186" i="2"/>
  <c r="I187" i="2"/>
  <c r="I176" i="2"/>
  <c r="I167" i="2"/>
  <c r="I150" i="2"/>
  <c r="I142" i="2"/>
  <c r="I135" i="2"/>
  <c r="I128" i="2"/>
  <c r="I121" i="2"/>
  <c r="I113" i="2"/>
  <c r="I106" i="2"/>
  <c r="I99" i="2"/>
  <c r="I94" i="2"/>
  <c r="I85" i="2"/>
  <c r="I78" i="2"/>
  <c r="I73" i="2"/>
  <c r="I72" i="2"/>
</calcChain>
</file>

<file path=xl/sharedStrings.xml><?xml version="1.0" encoding="utf-8"?>
<sst xmlns="http://schemas.openxmlformats.org/spreadsheetml/2006/main" count="3384" uniqueCount="621">
  <si>
    <t>Sample Registration</t>
  </si>
  <si>
    <t>program_id</t>
  </si>
  <si>
    <t>submitter_donor_id</t>
  </si>
  <si>
    <t>submitter_specimen_id</t>
  </si>
  <si>
    <t>specimen_tissue_source</t>
  </si>
  <si>
    <t>tumour_normal_designation</t>
  </si>
  <si>
    <t>specimen_type</t>
  </si>
  <si>
    <t>submitter_sample_id</t>
  </si>
  <si>
    <t>sample_type</t>
  </si>
  <si>
    <t>Donor</t>
  </si>
  <si>
    <t>gender</t>
  </si>
  <si>
    <t>sex_at_birth</t>
  </si>
  <si>
    <t>date_of_birth</t>
  </si>
  <si>
    <t>date_of_death</t>
  </si>
  <si>
    <t>date_resolution</t>
  </si>
  <si>
    <t>cause_of_death</t>
  </si>
  <si>
    <t>lost_to_followup_after_clinical_event_identifier</t>
  </si>
  <si>
    <t>lost_to_followup_reason</t>
  </si>
  <si>
    <t>date_alive_after_lost_to_followup</t>
  </si>
  <si>
    <t>Specimen</t>
  </si>
  <si>
    <t>submitter_primary_diagnosis_id</t>
  </si>
  <si>
    <t>submitter_treatment_id</t>
  </si>
  <si>
    <t>specimen_collection_date</t>
  </si>
  <si>
    <t>specimen_anatomic_location</t>
  </si>
  <si>
    <t>specimen_laterality</t>
  </si>
  <si>
    <t>tumour_histological_type</t>
  </si>
  <si>
    <t>reference_pathology_confirmed_diagnosis</t>
  </si>
  <si>
    <t>reference_pathology_confirmed_tumour_presence</t>
  </si>
  <si>
    <t>tumour_grading_system</t>
  </si>
  <si>
    <t>tumour_grade</t>
  </si>
  <si>
    <t>percent_tumour_cells_range</t>
  </si>
  <si>
    <t>percent_tumour_cells_measurement_method</t>
  </si>
  <si>
    <t>specimen_storage</t>
  </si>
  <si>
    <t>specimen_processing</t>
  </si>
  <si>
    <t>Primary Diagnosis</t>
  </si>
  <si>
    <t>date_of_diagnosis</t>
  </si>
  <si>
    <t>cancer_type_code</t>
  </si>
  <si>
    <t>primary_site</t>
  </si>
  <si>
    <t>basis_of_diagnosis</t>
  </si>
  <si>
    <t>laterality</t>
  </si>
  <si>
    <t>clinical_tumour_staging_system</t>
  </si>
  <si>
    <t>clinical_stage_group</t>
  </si>
  <si>
    <t>pathological_tumour_staging_system</t>
  </si>
  <si>
    <t>pathological_stage_group</t>
  </si>
  <si>
    <t>clinical_t_category</t>
  </si>
  <si>
    <t>clinical_n_category</t>
  </si>
  <si>
    <t>clinical_m_category</t>
  </si>
  <si>
    <t>pathological_t_category</t>
  </si>
  <si>
    <t>pathological_n_category</t>
  </si>
  <si>
    <t>pathological_m_category</t>
  </si>
  <si>
    <t>Treatment</t>
  </si>
  <si>
    <t>is_primary_treatment</t>
  </si>
  <si>
    <t>treatment_start_date</t>
  </si>
  <si>
    <t>treatment_end_date</t>
  </si>
  <si>
    <t>treatment_intent</t>
  </si>
  <si>
    <t>response_to_treatment_criteria_method</t>
  </si>
  <si>
    <t>status_of_treatment</t>
  </si>
  <si>
    <t>Systemic Therapy</t>
  </si>
  <si>
    <t>systemic_therapy_type</t>
  </si>
  <si>
    <t>start_date</t>
  </si>
  <si>
    <t>end_date</t>
  </si>
  <si>
    <t>drug_reference_database</t>
  </si>
  <si>
    <t>drug_reference_identifier</t>
  </si>
  <si>
    <t>drug_dose_units</t>
  </si>
  <si>
    <t>days_per_cycle</t>
  </si>
  <si>
    <t>number_of_cycles</t>
  </si>
  <si>
    <t>prescribed_cumulative_drug_dose</t>
  </si>
  <si>
    <t>actual_cumulative_drug_dose</t>
  </si>
  <si>
    <t>Radiation</t>
  </si>
  <si>
    <t>radiation_therapy_modality</t>
  </si>
  <si>
    <t>radiation_therapy_type</t>
  </si>
  <si>
    <t>radiation_therapy_fractions</t>
  </si>
  <si>
    <t>radiation_therapy_dosage</t>
  </si>
  <si>
    <t xml:space="preserve">anatomical_site_irradiated </t>
  </si>
  <si>
    <t>radiation_boost</t>
  </si>
  <si>
    <t>Surgery</t>
  </si>
  <si>
    <t>surgery_reference_database</t>
  </si>
  <si>
    <t>surgery_reference_identifier</t>
  </si>
  <si>
    <t>surgery_site</t>
  </si>
  <si>
    <t>surgery_location</t>
  </si>
  <si>
    <t>tumour_length</t>
  </si>
  <si>
    <t>tumour_width</t>
  </si>
  <si>
    <t>greatest_dimension_tumour</t>
  </si>
  <si>
    <t>tumour_focality</t>
  </si>
  <si>
    <t>residual_tumour_classification</t>
  </si>
  <si>
    <t>margin_types_involved</t>
  </si>
  <si>
    <t>margin_types_not_involved</t>
  </si>
  <si>
    <t>margin_types_not_assessed</t>
  </si>
  <si>
    <t>lymphovascular_invasion</t>
  </si>
  <si>
    <t>perineural_invasion</t>
  </si>
  <si>
    <t>Follow Up</t>
  </si>
  <si>
    <t>submitter_follow_up_id</t>
  </si>
  <si>
    <t>date_of_followup</t>
  </si>
  <si>
    <t>disease_status_at_followup</t>
  </si>
  <si>
    <t>relapse_type</t>
  </si>
  <si>
    <t>date_of_relapse</t>
  </si>
  <si>
    <t>method_of_progression_status</t>
  </si>
  <si>
    <t>anatomic_site_progression_or_recurrence</t>
  </si>
  <si>
    <t>Biomarker</t>
  </si>
  <si>
    <t>test_date</t>
  </si>
  <si>
    <t>psa_level</t>
  </si>
  <si>
    <t>ca125</t>
  </si>
  <si>
    <t>cea</t>
  </si>
  <si>
    <t>er_status</t>
  </si>
  <si>
    <t>er_percent_positive</t>
  </si>
  <si>
    <t>her2_ihc_status</t>
  </si>
  <si>
    <t>her2_ish_status</t>
  </si>
  <si>
    <t>hpv_ihc_status</t>
  </si>
  <si>
    <t>hpv_pcr_status</t>
  </si>
  <si>
    <t>hpv_strain</t>
  </si>
  <si>
    <t>Comorbidity</t>
  </si>
  <si>
    <t>prior_malignancy</t>
  </si>
  <si>
    <t>laterality_of_prior_malignancy</t>
  </si>
  <si>
    <t>age_at_comorbidity_diagnosis</t>
  </si>
  <si>
    <t>comorbidity_type_code</t>
  </si>
  <si>
    <t>comorbidity_treatment_status</t>
  </si>
  <si>
    <t>comorbidity_treatment</t>
  </si>
  <si>
    <t>Exposure</t>
  </si>
  <si>
    <t>tobacco_smoking_status</t>
  </si>
  <si>
    <t>tobacco_type</t>
  </si>
  <si>
    <t>pack_years_smoked</t>
  </si>
  <si>
    <t>Source JSON Level</t>
  </si>
  <si>
    <t>DHDP Data Catalog Identifier</t>
  </si>
  <si>
    <t>OMOP Table</t>
  </si>
  <si>
    <t>Instruction</t>
  </si>
  <si>
    <t>MOHCCN Source Schema</t>
  </si>
  <si>
    <t>Value</t>
  </si>
  <si>
    <t>Vocab</t>
  </si>
  <si>
    <t>Description</t>
  </si>
  <si>
    <t>$</t>
  </si>
  <si>
    <t>observation</t>
  </si>
  <si>
    <t>observation_type_concept_id</t>
  </si>
  <si>
    <t>Fixed Value</t>
  </si>
  <si>
    <t>N/A</t>
  </si>
  <si>
    <t>Type Concept</t>
  </si>
  <si>
    <t>observation_date</t>
  </si>
  <si>
    <t>episode</t>
  </si>
  <si>
    <t>episode_type_concept_id</t>
  </si>
  <si>
    <t>specimen</t>
  </si>
  <si>
    <t>specimen_type_concept_id</t>
  </si>
  <si>
    <t>measurement</t>
  </si>
  <si>
    <t>measurement_type_concept_id</t>
  </si>
  <si>
    <t>measurement_date</t>
  </si>
  <si>
    <t>procedure_occurrence</t>
  </si>
  <si>
    <t>procedure_type_concept_id</t>
  </si>
  <si>
    <t>condition_occurrence</t>
  </si>
  <si>
    <t>condition_type_concept_id</t>
  </si>
  <si>
    <t>person_id</t>
  </si>
  <si>
    <t>Get Unique ID</t>
  </si>
  <si>
    <t>measurement_event_id</t>
  </si>
  <si>
    <t>meas_event_field_concept_id</t>
  </si>
  <si>
    <t>Concept ID By Term</t>
  </si>
  <si>
    <t>CDM</t>
  </si>
  <si>
    <t>Generate Unique ID</t>
  </si>
  <si>
    <t>Copy Value</t>
  </si>
  <si>
    <t>person</t>
  </si>
  <si>
    <t>person_source_value</t>
  </si>
  <si>
    <t>Patient - Sex At Birth (Code)</t>
  </si>
  <si>
    <t>gender_concept_id</t>
  </si>
  <si>
    <t>Gender</t>
  </si>
  <si>
    <t>https://athena.ohdsi.org/search-terms/terms?domain=Gender&amp;standardConcept=Standard&amp;page=1&amp;pageSize=15&amp;query=</t>
  </si>
  <si>
    <t>Patient - Sex At Birth (Text From Source)</t>
  </si>
  <si>
    <t>gender_source_value</t>
  </si>
  <si>
    <t>Patient - Birth Year</t>
  </si>
  <si>
    <t>year_of_birth</t>
  </si>
  <si>
    <t>Calculate Year From Interval</t>
  </si>
  <si>
    <t>Patient - Birth Month</t>
  </si>
  <si>
    <t>month_of_birth</t>
  </si>
  <si>
    <t>Calculate Month From Interval</t>
  </si>
  <si>
    <t>Patient - Birth Day</t>
  </si>
  <si>
    <t>day_of_birth</t>
  </si>
  <si>
    <t>Calculate Day From Interval</t>
  </si>
  <si>
    <t>observation_id</t>
  </si>
  <si>
    <t>observation_concept_id</t>
  </si>
  <si>
    <t>SNOMED</t>
  </si>
  <si>
    <t>Patient - Gender Identity (Code)</t>
  </si>
  <si>
    <t>value_as_concept_id</t>
  </si>
  <si>
    <t>Patient - Gender Identity (Text From Source)</t>
  </si>
  <si>
    <t>value_source_value</t>
  </si>
  <si>
    <t>death</t>
  </si>
  <si>
    <t>death_type_concept_id</t>
  </si>
  <si>
    <t>Patient Death - Date Of Death</t>
  </si>
  <si>
    <t>death_date</t>
  </si>
  <si>
    <t>Calculate Date From Interval</t>
  </si>
  <si>
    <t>Patient Death - Cause Of Death (Code)</t>
  </si>
  <si>
    <t>cause_concept_id</t>
  </si>
  <si>
    <t>Patient Death - Cause Of Death (Text From Source)</t>
  </si>
  <si>
    <t>cause_source_value</t>
  </si>
  <si>
    <t>?</t>
  </si>
  <si>
    <t>condition_occurrence_id</t>
  </si>
  <si>
    <t>Primary Diagnosis - Condition (Code)</t>
  </si>
  <si>
    <t>condition_concept_id</t>
  </si>
  <si>
    <t>Concept ID By Code</t>
  </si>
  <si>
    <t>ICD10</t>
  </si>
  <si>
    <t>Primary Diagnosis - Condition (Text From Source)</t>
  </si>
  <si>
    <t>condition_source_value</t>
  </si>
  <si>
    <t>Primary Diagnosis - Diagnosis Date</t>
  </si>
  <si>
    <t>condition_start_date</t>
  </si>
  <si>
    <t>condition_status_concept_id</t>
  </si>
  <si>
    <t>Condition Status</t>
  </si>
  <si>
    <t>episode_id</t>
  </si>
  <si>
    <t>episode_concept_id</t>
  </si>
  <si>
    <t>32528</t>
  </si>
  <si>
    <t>Episode</t>
  </si>
  <si>
    <t>Disease First Occurrence</t>
  </si>
  <si>
    <t>episode_source_concept_id</t>
  </si>
  <si>
    <t>episode_object_concept_id</t>
  </si>
  <si>
    <t>episode_number</t>
  </si>
  <si>
    <t>episode_start_date</t>
  </si>
  <si>
    <t>episode_end_date</t>
  </si>
  <si>
    <t>episode_event</t>
  </si>
  <si>
    <t>event_id</t>
  </si>
  <si>
    <t>episode_event_field_concept_id</t>
  </si>
  <si>
    <t>measurement_id</t>
  </si>
  <si>
    <t>measurement_concept_id</t>
  </si>
  <si>
    <t>Cancer Modifier</t>
  </si>
  <si>
    <t>Initial Diagnosis</t>
  </si>
  <si>
    <t>Primary Diagnosis - Basis of Diagnosis (Code)</t>
  </si>
  <si>
    <t>Primary Diagnosis - Basis of Diagnosis (Text)</t>
  </si>
  <si>
    <t>35918306</t>
  </si>
  <si>
    <t>NAACCR</t>
  </si>
  <si>
    <t>Primary Diagnosis - Disease Laterality (Code)</t>
  </si>
  <si>
    <t>Primary Diagnosis - Disease Laterality (Text From Source)</t>
  </si>
  <si>
    <t>3011717</t>
  </si>
  <si>
    <t>LOINC</t>
  </si>
  <si>
    <t>Primary site Cancer</t>
  </si>
  <si>
    <t>Primary Diagnosis - Primary Site (Code)</t>
  </si>
  <si>
    <t>Primary Diagnosis - Primary Site (Text From Source)</t>
  </si>
  <si>
    <t>observation_event_id</t>
  </si>
  <si>
    <t>obs_event_field_concept_id</t>
  </si>
  <si>
    <t>Primary Diagnosis - Clinical Staging System (Code)</t>
  </si>
  <si>
    <t>Primary Diagnosis - Clinical Staging System (Text From Source)</t>
  </si>
  <si>
    <t>measurement_source_value</t>
  </si>
  <si>
    <t>Primary Diagnosis - Clinical TNM T Stage (Code)</t>
  </si>
  <si>
    <t>Primary Diagnosis - Clinical TNM T Stage (Text From Source)</t>
  </si>
  <si>
    <t>Primary Diagnosis - Clinical TNM N Stage (Code)</t>
  </si>
  <si>
    <t>Primary Diagnosis - Clinical TNM N Stage (Text From Source)</t>
  </si>
  <si>
    <t>Primary Diagnosis - Clinical TNM M Stage (Code)</t>
  </si>
  <si>
    <t>Primary Diagnosis - Clinical TNM M Stage (Text From Source)</t>
  </si>
  <si>
    <t>Primary Diagnosis - Clinical Stage Group (Code)</t>
  </si>
  <si>
    <t>Primary Diagnosis - Clinical Stage Group (Text From Source)</t>
  </si>
  <si>
    <t>Primary Diagnosis - Pathological Staging System (Code)</t>
  </si>
  <si>
    <t>Primary Diagnosis - Pathological Staging System (Text From Source)</t>
  </si>
  <si>
    <t>Primary Diagnosis - Pathological TNM T Stage (Code)</t>
  </si>
  <si>
    <t>Primary Diagnosis - Pathological TNM T Stage (Text From Source)</t>
  </si>
  <si>
    <t>Primary Diagnosis - Pathological TNM N Stage (Code)</t>
  </si>
  <si>
    <t>Primary Diagnosis - Pathological TNM N Stage (Text From Source)</t>
  </si>
  <si>
    <t>Primary Diagnosis - Pathological TNM M Stage (Code)</t>
  </si>
  <si>
    <t>Primary Diagnosis - Pathological TNM M Stage (Text From Source)</t>
  </si>
  <si>
    <t>Primary Diagnosis - Pathological Staging Group (Code)</t>
  </si>
  <si>
    <t>32531</t>
  </si>
  <si>
    <t>Treatment Regimen</t>
  </si>
  <si>
    <t>Cancer Treatment - Treatment Start Date</t>
  </si>
  <si>
    <t>Cancer Treatment - Treatment End Date</t>
  </si>
  <si>
    <t>Cancer Treatment - Is Primary Treatment</t>
  </si>
  <si>
    <t>procedure_occurrence_id</t>
  </si>
  <si>
    <t>procedure_concept_id</t>
  </si>
  <si>
    <t>Cancer Treatment - Treatment Type (Text From Source)</t>
  </si>
  <si>
    <t>procedure_source_value</t>
  </si>
  <si>
    <t>procedure_date</t>
  </si>
  <si>
    <t>Cancer Treatment - Treatment Status (Code)</t>
  </si>
  <si>
    <t>modifier_concept_id</t>
  </si>
  <si>
    <t>Cancer Treatment - Treatment Status (Text From Source)</t>
  </si>
  <si>
    <t>modifier_source_value</t>
  </si>
  <si>
    <t>1147082</t>
  </si>
  <si>
    <t>procedure_occurrence.procedure_occurrence_id</t>
  </si>
  <si>
    <t>Cancer Treatment - Treatment Intent (Code)</t>
  </si>
  <si>
    <t>Cancer Treatment - Treatment Intent (Text From Source)</t>
  </si>
  <si>
    <t>798885</t>
  </si>
  <si>
    <t>episode.episode_id</t>
  </si>
  <si>
    <t>4082405</t>
  </si>
  <si>
    <t>Response to treatment</t>
  </si>
  <si>
    <t>Cancer Treatment - Response To Treatment (Code)</t>
  </si>
  <si>
    <t>Cancer Treatment - Response To Treatment (Text From Source)</t>
  </si>
  <si>
    <t>Cancer Treatment - Response To Treatment Criteria Method (Code)</t>
  </si>
  <si>
    <t>qualifier_concept_id</t>
  </si>
  <si>
    <t>Cancer Treatment - Response To Treatment Criteria Method (Text From Source)</t>
  </si>
  <si>
    <t>qualifier_source_value</t>
  </si>
  <si>
    <t>32941</t>
  </si>
  <si>
    <t>Cancer Drug Treatment</t>
  </si>
  <si>
    <t>Systemic Therapy - Treatment Type (Code)</t>
  </si>
  <si>
    <t>Systemic Therapy - Treatment Type (Text From Source)</t>
  </si>
  <si>
    <t>Systemic Therapy - Number Of Cycles</t>
  </si>
  <si>
    <t>quantity</t>
  </si>
  <si>
    <t>drug_exposure</t>
  </si>
  <si>
    <t>drug_exposure_id</t>
  </si>
  <si>
    <t>drug_type_concept_id</t>
  </si>
  <si>
    <t>32833</t>
  </si>
  <si>
    <t>EHR order</t>
  </si>
  <si>
    <t>drug_concept_id</t>
  </si>
  <si>
    <t>drug_reference_database, drug_reference_identifier, drug_name</t>
  </si>
  <si>
    <t>Systemic Therapy - Drug Reference Database / 
Systemic Therapy - Drug Reference Identifier /
Systemic Therapy - Drug Name</t>
  </si>
  <si>
    <t>drug_source_value</t>
  </si>
  <si>
    <t>Systemic Therapy - Start Date</t>
  </si>
  <si>
    <t>drug_exposure_start_date</t>
  </si>
  <si>
    <t>Systemic Therapy - End Date</t>
  </si>
  <si>
    <t>drug_exposure_end_date</t>
  </si>
  <si>
    <t>Systemic Therapy - Dose Units</t>
  </si>
  <si>
    <t>dose_unit_source_value</t>
  </si>
  <si>
    <t>Systemic Therapy - Actual Cumulative Dose</t>
  </si>
  <si>
    <t>1147094</t>
  </si>
  <si>
    <t>drug_exposure.drug_exposure_id</t>
  </si>
  <si>
    <t>32838</t>
  </si>
  <si>
    <t>EHR prescription</t>
  </si>
  <si>
    <t>Systemic Therapy - Prescribed Cumulative Dose</t>
  </si>
  <si>
    <t>32940</t>
  </si>
  <si>
    <t>Cancer Radiotherapy</t>
  </si>
  <si>
    <t>Radiation Therapy - Modality (Code)</t>
  </si>
  <si>
    <t>Radiation Therapy - Modality (Text From Source)</t>
  </si>
  <si>
    <t>Radiation Therapy - External or Internal (Code)</t>
  </si>
  <si>
    <t>Radiation Therapy - External or Internal (Text From Source)</t>
  </si>
  <si>
    <t>40483776</t>
  </si>
  <si>
    <t>Total radiation dose delivered</t>
  </si>
  <si>
    <t>Radiation Therapy - Total Dose Given</t>
  </si>
  <si>
    <t>value_as_number</t>
  </si>
  <si>
    <t>Radiation Therapy - Total Dose Given Units</t>
  </si>
  <si>
    <t>unit_concept_id</t>
  </si>
  <si>
    <t>4037797</t>
  </si>
  <si>
    <t>Gy</t>
  </si>
  <si>
    <t>4037631</t>
  </si>
  <si>
    <t>Number of fractions</t>
  </si>
  <si>
    <t>4181646</t>
  </si>
  <si>
    <t>Procedure site</t>
  </si>
  <si>
    <t>Radiation Therapy - Irradiated Site (Code)</t>
  </si>
  <si>
    <t>Radiation Therapy - Irradiated Site (Text From Source)</t>
  </si>
  <si>
    <t>40482853</t>
  </si>
  <si>
    <t>Radiation boost therapy</t>
  </si>
  <si>
    <t>32939</t>
  </si>
  <si>
    <t>Cancer Surgery</t>
  </si>
  <si>
    <t>Surgery - Surgery Type (Code)</t>
  </si>
  <si>
    <t>Surgery - Surgery Reference Database (Text From Source),
Surgery - Surgery Reference Identifier (Text From Source),
Surgery - Surgery Name (Text From Source)</t>
  </si>
  <si>
    <t>surgery_reference_database, surgery_reference_identifier,
surgery_type</t>
  </si>
  <si>
    <t>4156562</t>
  </si>
  <si>
    <t>Tumor size, dimension 1</t>
  </si>
  <si>
    <t>Surgery - Tumour Length</t>
  </si>
  <si>
    <t>4122379</t>
  </si>
  <si>
    <t>mm</t>
  </si>
  <si>
    <t>4156563</t>
  </si>
  <si>
    <t>Tumor size, dimension 2</t>
  </si>
  <si>
    <t>Surgery - Tumour Width</t>
  </si>
  <si>
    <t>4154259</t>
  </si>
  <si>
    <t>Tumor size, largest dimension</t>
  </si>
  <si>
    <t>Surgery - Body Site (Code)</t>
  </si>
  <si>
    <t>Surgery - Body Site (Text From Source)</t>
  </si>
  <si>
    <t>4244984</t>
  </si>
  <si>
    <t>Tumor focality</t>
  </si>
  <si>
    <t>Surgery - Tumour Focality (Code)</t>
  </si>
  <si>
    <t>Surgery - Tumour Focality (Text From Source)</t>
  </si>
  <si>
    <t>45773156</t>
  </si>
  <si>
    <t>Specimen source</t>
  </si>
  <si>
    <t>Surgery - Specimen Source (Code)</t>
  </si>
  <si>
    <t>Surgery - Specimen Source (Text From Source)</t>
  </si>
  <si>
    <t>4077124</t>
  </si>
  <si>
    <t>Residual tumor stage</t>
  </si>
  <si>
    <t>Surgery - Residual Tumour Classification (Code)</t>
  </si>
  <si>
    <t>Surgery - Residual Tumour Classification (Text From Source)</t>
  </si>
  <si>
    <t>4184217</t>
  </si>
  <si>
    <t>Surgical margin involved by tumor</t>
  </si>
  <si>
    <t>Surgery - Margin Types Involved (Code)</t>
  </si>
  <si>
    <t>Surgery - Margin Types Involved (Text From Source)</t>
  </si>
  <si>
    <t>9191</t>
  </si>
  <si>
    <t>Positive</t>
  </si>
  <si>
    <t>Surgery - Margin Types Not Involved (Code)</t>
  </si>
  <si>
    <t>Surgery - Margin Types Not Involved (Text From Source)</t>
  </si>
  <si>
    <t>9189</t>
  </si>
  <si>
    <t>Negative</t>
  </si>
  <si>
    <t>Surgery - Margin Types Not Assessable (Code)</t>
  </si>
  <si>
    <t>Surgery - Margin Types Not Assessable (Text From Source)</t>
  </si>
  <si>
    <t>4183475</t>
  </si>
  <si>
    <t>Margins cannot be assessed</t>
  </si>
  <si>
    <t>1074673</t>
  </si>
  <si>
    <t>Status of lymphovascular invasion by tumour</t>
  </si>
  <si>
    <t>Surgery - Lymphovascular Invasion (Code)</t>
  </si>
  <si>
    <t>Surgery - Lymphovascular Invasion (Text From Source)</t>
  </si>
  <si>
    <t>4161179</t>
  </si>
  <si>
    <t>Status of perineural invasion by tumour</t>
  </si>
  <si>
    <t>Surgery - Perineural Invasion (Code)</t>
  </si>
  <si>
    <t>Surgery - Perineural Invasion (Text From Source)</t>
  </si>
  <si>
    <t>specimen_id</t>
  </si>
  <si>
    <t>Specimen - Specimen Collection Date</t>
  </si>
  <si>
    <t>specimen_date</t>
  </si>
  <si>
    <t>Specimen - Specimen Body Site (Code)</t>
  </si>
  <si>
    <t>anatomic_site_concept_id</t>
  </si>
  <si>
    <t>Specimen - Specimen Body Site (Text From Source)</t>
  </si>
  <si>
    <t>anatomic_site_source_value</t>
  </si>
  <si>
    <t>36716952</t>
  </si>
  <si>
    <t>Morphology</t>
  </si>
  <si>
    <t>Specimen - Tumour Histological Type (Code)</t>
  </si>
  <si>
    <t>Specimen - Tumour Histological Type (Text From Source)</t>
  </si>
  <si>
    <t>1147049</t>
  </si>
  <si>
    <t>specimen.specimen_id</t>
  </si>
  <si>
    <t>Histologic grade</t>
  </si>
  <si>
    <t>Specimen - Tumour Grade (Code)</t>
  </si>
  <si>
    <t>Specimen - Tumour Grading System (Code)</t>
  </si>
  <si>
    <t>4298494</t>
  </si>
  <si>
    <t>Specimen laterality</t>
  </si>
  <si>
    <t>Specimen - Specimen Laterality  (Code)</t>
  </si>
  <si>
    <t>Specimen - Specimen Laterality (Code)</t>
  </si>
  <si>
    <t>4154128</t>
  </si>
  <si>
    <t>Specimen type</t>
  </si>
  <si>
    <t>Specimen - Specimen Processing Technique (Code)</t>
  </si>
  <si>
    <t>37169821</t>
  </si>
  <si>
    <t>Specimen storage</t>
  </si>
  <si>
    <t>Specimen - Specimen Storage Method (Code)</t>
  </si>
  <si>
    <t>3375793</t>
  </si>
  <si>
    <t>Tumour site</t>
  </si>
  <si>
    <t>4272032</t>
  </si>
  <si>
    <t>Prostate specific antigen measurement</t>
  </si>
  <si>
    <t>4120724</t>
  </si>
  <si>
    <t>ng/mL</t>
  </si>
  <si>
    <t>4197913</t>
  </si>
  <si>
    <t>CA 125 measurement</t>
  </si>
  <si>
    <t>4118305</t>
  </si>
  <si>
    <t>U/mL</t>
  </si>
  <si>
    <t>4244721</t>
  </si>
  <si>
    <t>Carcinoembryonic antigen measurement</t>
  </si>
  <si>
    <t>4307360</t>
  </si>
  <si>
    <t>Estrogen receptor assay</t>
  </si>
  <si>
    <t>4041099</t>
  </si>
  <si>
    <t>Percent</t>
  </si>
  <si>
    <t>35918264</t>
  </si>
  <si>
    <t>HER2 IHC Summary</t>
  </si>
  <si>
    <t>35918706</t>
  </si>
  <si>
    <t>HER2 ISH Summary</t>
  </si>
  <si>
    <t>43054909</t>
  </si>
  <si>
    <t>Tobacco smoking status</t>
  </si>
  <si>
    <t>37172639</t>
  </si>
  <si>
    <t>Type of tobacco used</t>
  </si>
  <si>
    <t>1147165</t>
  </si>
  <si>
    <t>observation.observation_id</t>
  </si>
  <si>
    <t>condition_status_source_value</t>
  </si>
  <si>
    <t>OMOP TNM Clin T Stage Measurement</t>
  </si>
  <si>
    <t>OMOP TNM Clin N Stage Measurement</t>
  </si>
  <si>
    <t>OMOP Patient Person</t>
  </si>
  <si>
    <t>OMOP Gender Identity Observation</t>
  </si>
  <si>
    <t>OMOP Patient Death</t>
  </si>
  <si>
    <t>OMOP Primary Dx Condition</t>
  </si>
  <si>
    <t>OMOP Primary Dx Episode</t>
  </si>
  <si>
    <t>OMOP TNM Clin M Stage Measurement</t>
  </si>
  <si>
    <t>OMOP Primary Dx Initial Diagnosis Measurement</t>
  </si>
  <si>
    <t>OMOP Primary Dx Laterality Measurement</t>
  </si>
  <si>
    <t>OMOP Primary Dx Site Observation</t>
  </si>
  <si>
    <t>OMOP Clinical Stage Measurement</t>
  </si>
  <si>
    <t>OMOP TNM Path T Stage Measurement</t>
  </si>
  <si>
    <t>OMOP TNM Path N Stage Measurement</t>
  </si>
  <si>
    <t>OMOP TNM Path M Stage Measurement</t>
  </si>
  <si>
    <t>OMOP Pathological Stage Measurement</t>
  </si>
  <si>
    <t>OMOP Treatment Episode</t>
  </si>
  <si>
    <t>OMOP Treatment Episode Intent Observation</t>
  </si>
  <si>
    <t>OMOP Treatment Episode Response Observation</t>
  </si>
  <si>
    <t>OMOP Systemic Therapy Episode</t>
  </si>
  <si>
    <t>OMOP Systemic Therapy Procedure</t>
  </si>
  <si>
    <t>OMOP Systemic Therapy Dose Given Drug Exposure</t>
  </si>
  <si>
    <t>OMOP Systemic Therapy Dose Prescribed Drug Exposure</t>
  </si>
  <si>
    <t>OMOP Radiation Episode</t>
  </si>
  <si>
    <t>OMOP Radiation Procedure</t>
  </si>
  <si>
    <t>OMOP Radiation Episode Total Dose Given Measurement</t>
  </si>
  <si>
    <t>OMOP Radiation Episode Total Fractions Given Measurement</t>
  </si>
  <si>
    <t>OMOP Radiation Episode Radiated Site Observation</t>
  </si>
  <si>
    <t>OMOP Radiation Boost Procedure</t>
  </si>
  <si>
    <t>OMOP Surgery Episode</t>
  </si>
  <si>
    <t>OMOP Surgery Procedure</t>
  </si>
  <si>
    <t>OMOP Surgery Episode Tumour Length Measurement</t>
  </si>
  <si>
    <t>OMOP Surgery Episode Tumour Width Measurement</t>
  </si>
  <si>
    <t>OMOP Surgery Episode Greatest Tumour Dimension Measurement</t>
  </si>
  <si>
    <t>OMOP Surgery Episode Surgery Site Observation</t>
  </si>
  <si>
    <t>OMOP Surgery Episode Surgery Tumour Focality Observation</t>
  </si>
  <si>
    <t>OMOP Surgery Episode Surgery Specimen Source Observation</t>
  </si>
  <si>
    <t>OMOP Surgery Episode Residual Tumour Classification Observation</t>
  </si>
  <si>
    <t>OMOP Surgery Episode Margin Positive Involvement Observation</t>
  </si>
  <si>
    <t>OMOP Surgery Episode Margin Negative Involvement Observation</t>
  </si>
  <si>
    <t>OMOP Surgery Episode Margin Unassessible Involvement Observation</t>
  </si>
  <si>
    <t>OMOP Surgery Episode Lymphovascular Invasion Observation</t>
  </si>
  <si>
    <t>OMOP Surgery Episode Perineural Invasion Observation</t>
  </si>
  <si>
    <t>OMOP Specimen</t>
  </si>
  <si>
    <t>OMOP Specimen Tumour Morphology Observation</t>
  </si>
  <si>
    <t>OMOP Specimen Tumour Grade Observation</t>
  </si>
  <si>
    <t>OMOP Specimen Laterality Observation</t>
  </si>
  <si>
    <t>OMOP Follow Up Relapse Site Observation</t>
  </si>
  <si>
    <t>MOHCCN Specimen Incomplete Modeling</t>
  </si>
  <si>
    <t>MOHCCN Follow Up Incomplete Modeling</t>
  </si>
  <si>
    <t>MOHCCN Donor Incomplete Modeling</t>
  </si>
  <si>
    <t>MOHCCN Systemic Therapy Incomplete Modeling</t>
  </si>
  <si>
    <t>OMOP Systemic Therapy Episode / Dose Given Drug Exposure Event</t>
  </si>
  <si>
    <t>OMOP Systemic Therapy Episode / Procedure Event</t>
  </si>
  <si>
    <t>OMOP Primary Dx Episode / Condition Event</t>
  </si>
  <si>
    <t>OMOP Treatment Episode / Systemic Therapy Episode Event</t>
  </si>
  <si>
    <t>OMOP Systemic Therapy Episode / Dose Prescribed Drug Exposure Event</t>
  </si>
  <si>
    <t>OMOP Treatment Episode / Radiation Episode Event</t>
  </si>
  <si>
    <t>OMOP Radiation Episode / Procedure Event</t>
  </si>
  <si>
    <t>OMOP Radiation Episode / Radiation Boost Procedure Event</t>
  </si>
  <si>
    <t>OMOP Treatment Episode / Surgery Episode Event</t>
  </si>
  <si>
    <t>OMOP Surgery Episode / Procedure Event</t>
  </si>
  <si>
    <t>OMOP Primary Dx Episode / Specimen Event</t>
  </si>
  <si>
    <t>OMOP Treatment Episode / Specimen Event</t>
  </si>
  <si>
    <t>OMOP Specimen Storage Method Observation</t>
  </si>
  <si>
    <t>OMOP Specimen Processing Technique Observation</t>
  </si>
  <si>
    <t>OMOP PSA Biomarker Measurement</t>
  </si>
  <si>
    <t>OMOP CA125 Biomarker Measurement</t>
  </si>
  <si>
    <t>OMOP CEA Biomarker Measurement</t>
  </si>
  <si>
    <t>OMOP Estrogen Receptor Biomarker Measurement</t>
  </si>
  <si>
    <t>OMOP HER2 IHC Status Biomarker Measurement</t>
  </si>
  <si>
    <t>OMOP HER2 ISH Status Biomarker Measurement</t>
  </si>
  <si>
    <t>OMOP Tobacco Smoking Status Observation</t>
  </si>
  <si>
    <t>OMOP Tobacco Type Observation</t>
  </si>
  <si>
    <t>OMOP Cigarette Pack Years Observation</t>
  </si>
  <si>
    <t>OMOP Comorbidity Condition</t>
  </si>
  <si>
    <t>OMOP Comorbidity Laterality Measurement</t>
  </si>
  <si>
    <t>MOHCCN Sample Registration Incomplete Modeling</t>
  </si>
  <si>
    <t>Primary Diagnosis - Pathological Staging Group (Text From Source)</t>
  </si>
  <si>
    <t>MOHCCN Biomarkers Incomplete Modeling</t>
  </si>
  <si>
    <t>Gender identity</t>
  </si>
  <si>
    <t>Registry</t>
  </si>
  <si>
    <t>condition_occurrence.condition_occurrence_id</t>
  </si>
  <si>
    <t>Laterality</t>
  </si>
  <si>
    <t>MOHCCN Comorbidity Incomplete Modeling</t>
  </si>
  <si>
    <t>Default Values</t>
  </si>
  <si>
    <t>DHDP Data Group</t>
  </si>
  <si>
    <t>4164336</t>
  </si>
  <si>
    <t>Clinical T category</t>
  </si>
  <si>
    <t>4164466</t>
  </si>
  <si>
    <t>Clinical N category</t>
  </si>
  <si>
    <t>4164182</t>
  </si>
  <si>
    <t>Clinical M category</t>
  </si>
  <si>
    <t>4293617</t>
  </si>
  <si>
    <t>Pathologic T category</t>
  </si>
  <si>
    <t>4161174</t>
  </si>
  <si>
    <t>Pathologic N category</t>
  </si>
  <si>
    <t>4154262</t>
  </si>
  <si>
    <t>Pathologic M category</t>
  </si>
  <si>
    <t>response_to_treatment</t>
  </si>
  <si>
    <t>ICDO3</t>
  </si>
  <si>
    <t>SITE_{siteId}</t>
  </si>
  <si>
    <t>Global Variables</t>
  </si>
  <si>
    <t>$.donors[]</t>
  </si>
  <si>
    <t>$.donors[].primary_diagnoses[]</t>
  </si>
  <si>
    <t>$.donors[].primary_diagnoses[].treatments[]</t>
  </si>
  <si>
    <t>$.donors[].primary_diagnoses[].treatments[].systemic_therapies[]</t>
  </si>
  <si>
    <t>$.donors[].primary_diagnoses[].treatments[].radiations[]</t>
  </si>
  <si>
    <t>$.donors[].primary_diagnoses[].treatments[].surgeries[]</t>
  </si>
  <si>
    <t>$.donors[].primary_diagnoses[].specimens[]</t>
  </si>
  <si>
    <t>$.donors[].exposures[]</t>
  </si>
  <si>
    <t>$.donors[].comorbidities[]</t>
  </si>
  <si>
    <t>_global_vars</t>
  </si>
  <si>
    <t>Target Field</t>
  </si>
  <si>
    <t>{source_id}</t>
  </si>
  <si>
    <t>{fixed_date}</t>
  </si>
  <si>
    <t>Source Field</t>
  </si>
  <si>
    <t>2000-01-01</t>
  </si>
  <si>
    <t>0</t>
  </si>
  <si>
    <t>Concatenate Values</t>
  </si>
  <si>
    <t>{Specimen.submitter_specimen_id}</t>
  </si>
  <si>
    <t>{Systemic Therapy.drug_reference_database}</t>
  </si>
  <si>
    <t>{Surgery.surgery_reference_database}</t>
  </si>
  <si>
    <t>{Treatment.treatment_start_date}</t>
  </si>
  <si>
    <t>Save To Global Vars</t>
  </si>
  <si>
    <t>Reset Global Vars</t>
  </si>
  <si>
    <t>1800-01-01</t>
  </si>
  <si>
    <t>{missing_date_value}</t>
  </si>
  <si>
    <t>{missing_concept_id_value}</t>
  </si>
  <si>
    <t>{missing_string_value}</t>
  </si>
  <si>
    <t>(Missing value)</t>
  </si>
  <si>
    <t>Skip Record</t>
  </si>
  <si>
    <t>Requirement Rule</t>
  </si>
  <si>
    <t>Placeholder String</t>
  </si>
  <si>
    <t>OMOP Follow Up Disease Status Observation</t>
  </si>
  <si>
    <t>visit_occurrence_id</t>
  </si>
  <si>
    <t>OMOP Follow Up Visit Occurrence</t>
  </si>
  <si>
    <t>visit_concept_id</t>
  </si>
  <si>
    <t>9202</t>
  </si>
  <si>
    <t>Visit</t>
  </si>
  <si>
    <t>Outpatient Visit</t>
  </si>
  <si>
    <t>visit_start_date</t>
  </si>
  <si>
    <t>visit_end_date</t>
  </si>
  <si>
    <t>visit_occurrence</t>
  </si>
  <si>
    <t>visit_type_concept_id</t>
  </si>
  <si>
    <t>4203711</t>
  </si>
  <si>
    <t>Follow-up status</t>
  </si>
  <si>
    <t>1147070</t>
  </si>
  <si>
    <t>visit_occurrence.visit_occurrence_id</t>
  </si>
  <si>
    <t>4117444</t>
  </si>
  <si>
    <t>Relapse episode</t>
  </si>
  <si>
    <t>OMOP Follow Up Relapse Type Observation</t>
  </si>
  <si>
    <t>Placeholder:{missing_date_value}</t>
  </si>
  <si>
    <t>Placeholder:{missing_concept_id_value}</t>
  </si>
  <si>
    <t>Placeholder:1800</t>
  </si>
  <si>
    <t>Placeholder:1</t>
  </si>
  <si>
    <t>$.donors[].biomarkers[]</t>
  </si>
  <si>
    <t>4151768</t>
  </si>
  <si>
    <t>Pack years</t>
  </si>
  <si>
    <t>Generate Unique ID From Path</t>
  </si>
  <si>
    <t>Get Unique ID From Path</t>
  </si>
  <si>
    <t>race_concept_id</t>
  </si>
  <si>
    <t>ethnicity_concept_id</t>
  </si>
  <si>
    <t>dataset</t>
  </si>
  <si>
    <t>id</t>
  </si>
  <si>
    <t>specimen_concept_id</t>
  </si>
  <si>
    <t>4002890</t>
  </si>
  <si>
    <t>Tissue specimen</t>
  </si>
  <si>
    <t>4160340</t>
  </si>
  <si>
    <t>Get Unique ID (No Global Vars)</t>
  </si>
  <si>
    <t>Fixed Value If Not Empty</t>
  </si>
  <si>
    <t>4133895</t>
  </si>
  <si>
    <t>$.donors[].primary_diagnoses[].treatments[].followups[]</t>
  </si>
  <si>
    <t>{source_id}~{Donor.program_id}~{Donor.submitter_donor_id}</t>
  </si>
  <si>
    <t>CanDIG Dataset Definition</t>
  </si>
  <si>
    <t>{source_id}~{Donor.program_id}</t>
  </si>
  <si>
    <t>Therapeutic intent</t>
  </si>
  <si>
    <t>$.donors[].primary_diagnoses[].treatments[].treatment_type[]</t>
  </si>
  <si>
    <t>OMOP Treatment Episode Procedure Occurrence</t>
  </si>
  <si>
    <t>OMOP Treatment Episode / Procedure Occurrence Event</t>
  </si>
  <si>
    <t>{Treatment.status_of_treatment}</t>
  </si>
  <si>
    <t>Copy Node</t>
  </si>
  <si>
    <t>Calculate Date From Age</t>
  </si>
  <si>
    <t>Will probably need to create a comorbidity episode and link procedure_occurrence via episode_event</t>
  </si>
  <si>
    <t>$.donors[].followups[]</t>
  </si>
  <si>
    <t>$.donors[].primary_diagnoses[].followups[]</t>
  </si>
  <si>
    <t>OMOP Primary Dx Episode / Visit Occurrence Event</t>
  </si>
  <si>
    <t>OMOP Treatment Episode / Visit Occurrence Event</t>
  </si>
  <si>
    <t>Concept ID By Node</t>
  </si>
  <si>
    <t>treatment_type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</si>
</sst>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6464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wrapText="1"/>
    </xf>
    <xf numFmtId="15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49" fontId="3" fillId="0" borderId="0" xfId="0" applyNumberFormat="1" applyFont="1" applyAlignment="1">
      <alignment wrapText="1"/>
    </xf>
    <xf numFmtId="0" fontId="3" fillId="2" borderId="0" xfId="0" applyFont="1" applyFill="1" applyAlignment="1">
      <alignment wrapText="1"/>
    </xf>
    <xf numFmtId="49" fontId="1" fillId="0" borderId="0" xfId="0" applyNumberFormat="1" applyFont="1" applyAlignment="1">
      <alignment wrapText="1"/>
    </xf>
    <xf numFmtId="0" fontId="3" fillId="0" borderId="0" xfId="0" applyFont="1"/>
    <xf numFmtId="0" fontId="2" fillId="2" borderId="0" xfId="0" applyFont="1" applyFill="1"/>
    <xf numFmtId="49" fontId="3" fillId="2" borderId="0" xfId="0" applyNumberFormat="1" applyFont="1" applyFill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1B9-3FB6-4282-940B-7420BB7A8AED}">
  <dimension ref="A1:L580"/>
  <sheetViews>
    <sheetView tabSelected="1" zoomScaleNormal="100" workbookViewId="0">
      <pane xSplit="2" ySplit="1" topLeftCell="D486" activePane="bottomRight" state="frozen"/>
      <selection pane="topRight" activeCell="B1" sqref="B1"/>
      <selection pane="bottomLeft" activeCell="A2" sqref="A2"/>
      <selection pane="bottomRight" activeCell="A503" sqref="A503:XFD503"/>
    </sheetView>
  </sheetViews>
  <sheetFormatPr defaultColWidth="9.140625" defaultRowHeight="13.5" x14ac:dyDescent="0.25"/>
  <cols>
    <col min="1" max="1" width="25.7109375" style="5" customWidth="1"/>
    <col min="2" max="2" width="24.5703125" style="3" customWidth="1"/>
    <col min="3" max="3" width="47.42578125" style="2" customWidth="1"/>
    <col min="4" max="4" width="17.7109375" style="2" bestFit="1" customWidth="1"/>
    <col min="5" max="5" width="25.140625" style="2" bestFit="1" customWidth="1"/>
    <col min="6" max="6" width="29.28515625" style="2" bestFit="1" customWidth="1"/>
    <col min="7" max="7" width="22.85546875" style="2" customWidth="1"/>
    <col min="8" max="8" width="33.5703125" style="5" customWidth="1"/>
    <col min="9" max="9" width="43.85546875" style="3" customWidth="1"/>
    <col min="10" max="10" width="13.42578125" style="2" customWidth="1"/>
    <col min="11" max="11" width="19.42578125" style="2" bestFit="1" customWidth="1"/>
    <col min="12" max="12" width="31.85546875" style="2" customWidth="1"/>
    <col min="13" max="16384" width="9.140625" style="2"/>
  </cols>
  <sheetData>
    <row r="1" spans="1:12" s="5" customFormat="1" x14ac:dyDescent="0.25">
      <c r="A1" s="5" t="s">
        <v>121</v>
      </c>
      <c r="B1" s="3" t="s">
        <v>517</v>
      </c>
      <c r="C1" s="5" t="s">
        <v>122</v>
      </c>
      <c r="D1" s="5" t="s">
        <v>123</v>
      </c>
      <c r="E1" s="5" t="s">
        <v>544</v>
      </c>
      <c r="F1" s="5" t="s">
        <v>124</v>
      </c>
      <c r="G1" s="5" t="s">
        <v>125</v>
      </c>
      <c r="H1" s="5" t="s">
        <v>547</v>
      </c>
      <c r="I1" s="3" t="s">
        <v>126</v>
      </c>
      <c r="J1" s="5" t="s">
        <v>127</v>
      </c>
      <c r="K1" s="5" t="s">
        <v>563</v>
      </c>
      <c r="L1" s="5" t="s">
        <v>128</v>
      </c>
    </row>
    <row r="2" spans="1:12" x14ac:dyDescent="0.25">
      <c r="A2" s="5" t="s">
        <v>129</v>
      </c>
      <c r="B2" s="3" t="s">
        <v>516</v>
      </c>
      <c r="D2" s="2" t="s">
        <v>130</v>
      </c>
      <c r="E2" s="2" t="s">
        <v>131</v>
      </c>
      <c r="F2" s="2" t="s">
        <v>132</v>
      </c>
      <c r="G2" s="5" t="s">
        <v>133</v>
      </c>
      <c r="H2" s="5" t="s">
        <v>133</v>
      </c>
      <c r="I2" s="10">
        <v>32879</v>
      </c>
      <c r="J2" s="2" t="s">
        <v>134</v>
      </c>
      <c r="L2" s="2" t="s">
        <v>512</v>
      </c>
    </row>
    <row r="3" spans="1:12" x14ac:dyDescent="0.25">
      <c r="D3" s="2" t="s">
        <v>130</v>
      </c>
      <c r="E3" s="2" t="s">
        <v>135</v>
      </c>
      <c r="F3" s="2" t="s">
        <v>154</v>
      </c>
      <c r="G3" s="5" t="s">
        <v>133</v>
      </c>
      <c r="H3" s="5" t="s">
        <v>133</v>
      </c>
      <c r="I3" s="2" t="s">
        <v>558</v>
      </c>
      <c r="J3" s="4"/>
      <c r="K3" s="4"/>
    </row>
    <row r="4" spans="1:12" x14ac:dyDescent="0.25">
      <c r="D4" s="2" t="s">
        <v>136</v>
      </c>
      <c r="E4" s="2" t="s">
        <v>137</v>
      </c>
      <c r="F4" s="2" t="s">
        <v>132</v>
      </c>
      <c r="G4" s="5" t="s">
        <v>133</v>
      </c>
      <c r="H4" s="5" t="s">
        <v>133</v>
      </c>
      <c r="I4" s="10">
        <v>32879</v>
      </c>
      <c r="J4" s="2" t="s">
        <v>134</v>
      </c>
      <c r="L4" s="2" t="s">
        <v>512</v>
      </c>
    </row>
    <row r="5" spans="1:12" x14ac:dyDescent="0.25">
      <c r="D5" s="2" t="s">
        <v>138</v>
      </c>
      <c r="E5" s="2" t="s">
        <v>139</v>
      </c>
      <c r="F5" s="2" t="s">
        <v>132</v>
      </c>
      <c r="G5" s="5" t="s">
        <v>133</v>
      </c>
      <c r="H5" s="5" t="s">
        <v>133</v>
      </c>
      <c r="I5" s="10">
        <v>32879</v>
      </c>
      <c r="J5" s="2" t="s">
        <v>134</v>
      </c>
      <c r="L5" s="2" t="s">
        <v>512</v>
      </c>
    </row>
    <row r="6" spans="1:12" x14ac:dyDescent="0.25">
      <c r="D6" s="2" t="s">
        <v>574</v>
      </c>
      <c r="E6" s="2" t="s">
        <v>575</v>
      </c>
      <c r="F6" s="2" t="s">
        <v>132</v>
      </c>
      <c r="G6" s="5" t="s">
        <v>133</v>
      </c>
      <c r="H6" s="5" t="s">
        <v>133</v>
      </c>
      <c r="I6" s="10">
        <v>32879</v>
      </c>
      <c r="J6" s="2" t="s">
        <v>134</v>
      </c>
      <c r="L6" s="2" t="s">
        <v>512</v>
      </c>
    </row>
    <row r="7" spans="1:12" x14ac:dyDescent="0.25">
      <c r="D7" s="2" t="s">
        <v>140</v>
      </c>
      <c r="E7" s="2" t="s">
        <v>141</v>
      </c>
      <c r="F7" s="2" t="s">
        <v>132</v>
      </c>
      <c r="G7" s="5" t="s">
        <v>133</v>
      </c>
      <c r="H7" s="5" t="s">
        <v>133</v>
      </c>
      <c r="I7" s="10">
        <v>32879</v>
      </c>
      <c r="J7" s="2" t="s">
        <v>134</v>
      </c>
      <c r="L7" s="2" t="s">
        <v>512</v>
      </c>
    </row>
    <row r="8" spans="1:12" x14ac:dyDescent="0.25">
      <c r="D8" s="2" t="s">
        <v>140</v>
      </c>
      <c r="E8" s="2" t="s">
        <v>142</v>
      </c>
      <c r="F8" s="2" t="s">
        <v>154</v>
      </c>
      <c r="G8" s="5" t="s">
        <v>133</v>
      </c>
      <c r="H8" s="5" t="s">
        <v>133</v>
      </c>
      <c r="I8" s="2" t="s">
        <v>558</v>
      </c>
    </row>
    <row r="9" spans="1:12" x14ac:dyDescent="0.25">
      <c r="D9" s="2" t="s">
        <v>143</v>
      </c>
      <c r="E9" s="2" t="s">
        <v>144</v>
      </c>
      <c r="F9" s="2" t="s">
        <v>132</v>
      </c>
      <c r="G9" s="5" t="s">
        <v>133</v>
      </c>
      <c r="H9" s="5" t="s">
        <v>133</v>
      </c>
      <c r="I9" s="10">
        <v>32879</v>
      </c>
      <c r="J9" s="2" t="s">
        <v>134</v>
      </c>
      <c r="L9" s="2" t="s">
        <v>512</v>
      </c>
    </row>
    <row r="10" spans="1:12" x14ac:dyDescent="0.25">
      <c r="D10" s="2" t="s">
        <v>145</v>
      </c>
      <c r="E10" s="2" t="s">
        <v>146</v>
      </c>
      <c r="F10" s="2" t="s">
        <v>132</v>
      </c>
      <c r="G10" s="5" t="s">
        <v>133</v>
      </c>
      <c r="H10" s="5" t="s">
        <v>133</v>
      </c>
      <c r="I10" s="10">
        <v>32879</v>
      </c>
      <c r="J10" s="1" t="s">
        <v>134</v>
      </c>
      <c r="K10" s="1"/>
      <c r="L10" s="2" t="s">
        <v>512</v>
      </c>
    </row>
    <row r="11" spans="1:12" x14ac:dyDescent="0.25">
      <c r="D11" s="2" t="s">
        <v>179</v>
      </c>
      <c r="E11" s="2" t="s">
        <v>147</v>
      </c>
      <c r="F11" s="2" t="s">
        <v>148</v>
      </c>
      <c r="G11" s="5" t="s">
        <v>9</v>
      </c>
      <c r="H11" s="5" t="s">
        <v>2</v>
      </c>
      <c r="I11" s="3" t="str">
        <f t="shared" ref="I11:I19" si="0">$B$39</f>
        <v>OMOP Patient Person</v>
      </c>
      <c r="K11" s="2" t="s">
        <v>562</v>
      </c>
    </row>
    <row r="12" spans="1:12" x14ac:dyDescent="0.25">
      <c r="D12" s="2" t="s">
        <v>130</v>
      </c>
      <c r="E12" s="2" t="s">
        <v>147</v>
      </c>
      <c r="F12" s="2" t="s">
        <v>148</v>
      </c>
      <c r="G12" s="5" t="s">
        <v>9</v>
      </c>
      <c r="H12" s="5" t="s">
        <v>2</v>
      </c>
      <c r="I12" s="3" t="str">
        <f t="shared" si="0"/>
        <v>OMOP Patient Person</v>
      </c>
      <c r="K12" s="2" t="s">
        <v>562</v>
      </c>
    </row>
    <row r="13" spans="1:12" x14ac:dyDescent="0.25">
      <c r="D13" s="2" t="s">
        <v>145</v>
      </c>
      <c r="E13" s="2" t="s">
        <v>147</v>
      </c>
      <c r="F13" s="2" t="s">
        <v>148</v>
      </c>
      <c r="G13" s="5" t="s">
        <v>9</v>
      </c>
      <c r="H13" s="5" t="s">
        <v>2</v>
      </c>
      <c r="I13" s="3" t="str">
        <f t="shared" si="0"/>
        <v>OMOP Patient Person</v>
      </c>
      <c r="K13" s="2" t="s">
        <v>562</v>
      </c>
    </row>
    <row r="14" spans="1:12" x14ac:dyDescent="0.25">
      <c r="D14" s="2" t="s">
        <v>284</v>
      </c>
      <c r="E14" s="2" t="s">
        <v>147</v>
      </c>
      <c r="F14" s="2" t="s">
        <v>148</v>
      </c>
      <c r="G14" s="5" t="s">
        <v>9</v>
      </c>
      <c r="H14" s="5" t="s">
        <v>2</v>
      </c>
      <c r="I14" s="3" t="str">
        <f t="shared" si="0"/>
        <v>OMOP Patient Person</v>
      </c>
      <c r="K14" s="2" t="s">
        <v>562</v>
      </c>
    </row>
    <row r="15" spans="1:12" x14ac:dyDescent="0.25">
      <c r="D15" s="2" t="s">
        <v>143</v>
      </c>
      <c r="E15" s="2" t="s">
        <v>147</v>
      </c>
      <c r="F15" s="2" t="s">
        <v>148</v>
      </c>
      <c r="G15" s="5" t="s">
        <v>9</v>
      </c>
      <c r="H15" s="5" t="s">
        <v>2</v>
      </c>
      <c r="I15" s="3" t="str">
        <f t="shared" si="0"/>
        <v>OMOP Patient Person</v>
      </c>
      <c r="K15" s="2" t="s">
        <v>562</v>
      </c>
    </row>
    <row r="16" spans="1:12" x14ac:dyDescent="0.25">
      <c r="D16" s="2" t="s">
        <v>140</v>
      </c>
      <c r="E16" s="2" t="s">
        <v>147</v>
      </c>
      <c r="F16" s="2" t="s">
        <v>148</v>
      </c>
      <c r="G16" s="5" t="s">
        <v>9</v>
      </c>
      <c r="H16" s="5" t="s">
        <v>2</v>
      </c>
      <c r="I16" s="3" t="str">
        <f t="shared" si="0"/>
        <v>OMOP Patient Person</v>
      </c>
      <c r="K16" s="2" t="s">
        <v>562</v>
      </c>
    </row>
    <row r="17" spans="1:12" x14ac:dyDescent="0.25">
      <c r="D17" s="2" t="s">
        <v>574</v>
      </c>
      <c r="E17" s="2" t="s">
        <v>147</v>
      </c>
      <c r="F17" s="2" t="s">
        <v>148</v>
      </c>
      <c r="G17" s="5" t="s">
        <v>9</v>
      </c>
      <c r="H17" s="5" t="s">
        <v>2</v>
      </c>
      <c r="I17" s="3" t="str">
        <f t="shared" si="0"/>
        <v>OMOP Patient Person</v>
      </c>
      <c r="K17" s="2" t="s">
        <v>562</v>
      </c>
    </row>
    <row r="18" spans="1:12" x14ac:dyDescent="0.25">
      <c r="D18" s="2" t="s">
        <v>138</v>
      </c>
      <c r="E18" s="2" t="s">
        <v>147</v>
      </c>
      <c r="F18" s="2" t="s">
        <v>148</v>
      </c>
      <c r="G18" s="5" t="s">
        <v>9</v>
      </c>
      <c r="H18" s="5" t="s">
        <v>2</v>
      </c>
      <c r="I18" s="3" t="str">
        <f t="shared" si="0"/>
        <v>OMOP Patient Person</v>
      </c>
      <c r="K18" s="2" t="s">
        <v>562</v>
      </c>
    </row>
    <row r="19" spans="1:12" x14ac:dyDescent="0.25">
      <c r="D19" s="2" t="s">
        <v>136</v>
      </c>
      <c r="E19" s="2" t="s">
        <v>147</v>
      </c>
      <c r="F19" s="2" t="s">
        <v>148</v>
      </c>
      <c r="G19" s="5" t="s">
        <v>9</v>
      </c>
      <c r="H19" s="5" t="s">
        <v>2</v>
      </c>
      <c r="I19" s="3" t="str">
        <f t="shared" si="0"/>
        <v>OMOP Patient Person</v>
      </c>
      <c r="K19" s="2" t="s">
        <v>562</v>
      </c>
    </row>
    <row r="20" spans="1:12" x14ac:dyDescent="0.25">
      <c r="D20" s="2" t="s">
        <v>140</v>
      </c>
      <c r="E20" s="2" t="s">
        <v>149</v>
      </c>
      <c r="F20" s="2" t="s">
        <v>600</v>
      </c>
      <c r="G20" s="2" t="s">
        <v>19</v>
      </c>
      <c r="H20" s="2" t="s">
        <v>3</v>
      </c>
      <c r="I20" s="3" t="str">
        <f>$B$378</f>
        <v>OMOP Specimen</v>
      </c>
    </row>
    <row r="21" spans="1:12" x14ac:dyDescent="0.25">
      <c r="D21" s="2" t="s">
        <v>140</v>
      </c>
      <c r="E21" s="2" t="s">
        <v>149</v>
      </c>
      <c r="F21" s="2" t="s">
        <v>600</v>
      </c>
      <c r="G21" s="2" t="s">
        <v>34</v>
      </c>
      <c r="H21" s="2" t="s">
        <v>20</v>
      </c>
      <c r="I21" s="3" t="str">
        <f>$B$65</f>
        <v>OMOP Primary Dx Episode</v>
      </c>
    </row>
    <row r="22" spans="1:12" x14ac:dyDescent="0.25">
      <c r="D22" s="2" t="s">
        <v>140</v>
      </c>
      <c r="E22" s="2" t="s">
        <v>149</v>
      </c>
      <c r="F22" s="2" t="s">
        <v>600</v>
      </c>
      <c r="G22" s="2" t="s">
        <v>50</v>
      </c>
      <c r="H22" s="2" t="s">
        <v>21</v>
      </c>
      <c r="I22" s="3" t="str">
        <f>$B$154</f>
        <v>OMOP Treatment Episode</v>
      </c>
    </row>
    <row r="23" spans="1:12" x14ac:dyDescent="0.25">
      <c r="D23" s="2" t="s">
        <v>140</v>
      </c>
      <c r="E23" s="2" t="s">
        <v>149</v>
      </c>
      <c r="F23" s="2" t="s">
        <v>600</v>
      </c>
      <c r="G23" s="2" t="s">
        <v>90</v>
      </c>
      <c r="H23" s="2" t="s">
        <v>91</v>
      </c>
      <c r="I23" s="3" t="str">
        <f>$B$431</f>
        <v>OMOP Follow Up Visit Occurrence</v>
      </c>
    </row>
    <row r="24" spans="1:12" x14ac:dyDescent="0.25">
      <c r="D24" s="2" t="s">
        <v>140</v>
      </c>
      <c r="E24" s="2" t="s">
        <v>150</v>
      </c>
      <c r="F24" s="2" t="s">
        <v>601</v>
      </c>
      <c r="G24" s="2" t="s">
        <v>19</v>
      </c>
      <c r="H24" s="3" t="s">
        <v>3</v>
      </c>
      <c r="I24" s="3" t="s">
        <v>389</v>
      </c>
      <c r="J24" s="2" t="s">
        <v>152</v>
      </c>
      <c r="L24" s="2" t="s">
        <v>390</v>
      </c>
    </row>
    <row r="25" spans="1:12" x14ac:dyDescent="0.25">
      <c r="D25" s="2" t="s">
        <v>140</v>
      </c>
      <c r="E25" s="2" t="s">
        <v>150</v>
      </c>
      <c r="F25" s="2" t="s">
        <v>601</v>
      </c>
      <c r="G25" s="2" t="s">
        <v>34</v>
      </c>
      <c r="H25" s="3" t="s">
        <v>20</v>
      </c>
      <c r="I25" s="3" t="s">
        <v>268</v>
      </c>
      <c r="J25" s="2" t="s">
        <v>152</v>
      </c>
      <c r="L25" s="2" t="s">
        <v>269</v>
      </c>
    </row>
    <row r="26" spans="1:12" x14ac:dyDescent="0.25">
      <c r="D26" s="2" t="s">
        <v>140</v>
      </c>
      <c r="E26" s="2" t="s">
        <v>150</v>
      </c>
      <c r="F26" s="2" t="s">
        <v>601</v>
      </c>
      <c r="G26" s="2" t="s">
        <v>50</v>
      </c>
      <c r="H26" s="3" t="s">
        <v>21</v>
      </c>
      <c r="I26" s="3" t="s">
        <v>268</v>
      </c>
      <c r="J26" s="2" t="s">
        <v>152</v>
      </c>
      <c r="L26" s="2" t="s">
        <v>269</v>
      </c>
    </row>
    <row r="27" spans="1:12" x14ac:dyDescent="0.25">
      <c r="D27" s="2" t="s">
        <v>140</v>
      </c>
      <c r="E27" s="2" t="s">
        <v>150</v>
      </c>
      <c r="F27" s="2" t="s">
        <v>601</v>
      </c>
      <c r="G27" s="2" t="s">
        <v>90</v>
      </c>
      <c r="H27" s="3" t="s">
        <v>91</v>
      </c>
      <c r="I27" s="3" t="s">
        <v>578</v>
      </c>
      <c r="J27" s="2" t="s">
        <v>152</v>
      </c>
      <c r="L27" s="2" t="s">
        <v>579</v>
      </c>
    </row>
    <row r="28" spans="1:12" x14ac:dyDescent="0.25">
      <c r="A28" s="5" t="s">
        <v>534</v>
      </c>
      <c r="B28" s="2" t="s">
        <v>533</v>
      </c>
      <c r="D28" s="2" t="s">
        <v>543</v>
      </c>
      <c r="E28" s="2" t="s">
        <v>133</v>
      </c>
      <c r="F28" s="2" t="s">
        <v>556</v>
      </c>
      <c r="G28" s="2" t="s">
        <v>133</v>
      </c>
      <c r="H28" s="2" t="s">
        <v>133</v>
      </c>
      <c r="I28" s="2"/>
    </row>
    <row r="29" spans="1:12" x14ac:dyDescent="0.25">
      <c r="D29" s="2" t="s">
        <v>543</v>
      </c>
      <c r="E29" s="2" t="s">
        <v>545</v>
      </c>
      <c r="F29" s="2" t="s">
        <v>154</v>
      </c>
      <c r="G29" s="2" t="s">
        <v>133</v>
      </c>
      <c r="H29" s="5" t="s">
        <v>133</v>
      </c>
      <c r="I29" s="3" t="s">
        <v>532</v>
      </c>
    </row>
    <row r="30" spans="1:12" x14ac:dyDescent="0.25">
      <c r="D30" s="2" t="s">
        <v>543</v>
      </c>
      <c r="E30" s="2" t="s">
        <v>546</v>
      </c>
      <c r="F30" s="2" t="s">
        <v>132</v>
      </c>
      <c r="G30" s="2" t="s">
        <v>133</v>
      </c>
      <c r="H30" s="5" t="s">
        <v>133</v>
      </c>
      <c r="I30" s="3" t="s">
        <v>548</v>
      </c>
    </row>
    <row r="31" spans="1:12" x14ac:dyDescent="0.25">
      <c r="D31" s="2" t="s">
        <v>543</v>
      </c>
      <c r="E31" s="2" t="s">
        <v>558</v>
      </c>
      <c r="F31" s="2" t="s">
        <v>132</v>
      </c>
      <c r="G31" s="2" t="s">
        <v>133</v>
      </c>
      <c r="H31" s="5" t="s">
        <v>133</v>
      </c>
      <c r="I31" s="2" t="s">
        <v>557</v>
      </c>
    </row>
    <row r="32" spans="1:12" x14ac:dyDescent="0.25">
      <c r="D32" s="2" t="s">
        <v>543</v>
      </c>
      <c r="E32" s="2" t="s">
        <v>559</v>
      </c>
      <c r="F32" s="2" t="s">
        <v>132</v>
      </c>
      <c r="G32" s="2" t="s">
        <v>133</v>
      </c>
      <c r="H32" s="5" t="s">
        <v>133</v>
      </c>
      <c r="I32" s="14">
        <v>4255047</v>
      </c>
    </row>
    <row r="33" spans="1:12" x14ac:dyDescent="0.25">
      <c r="D33" s="2" t="s">
        <v>543</v>
      </c>
      <c r="E33" s="2" t="s">
        <v>560</v>
      </c>
      <c r="F33" s="2" t="s">
        <v>132</v>
      </c>
      <c r="G33" s="2" t="s">
        <v>133</v>
      </c>
      <c r="H33" s="5" t="s">
        <v>133</v>
      </c>
      <c r="I33" s="14" t="s">
        <v>561</v>
      </c>
    </row>
    <row r="34" spans="1:12" x14ac:dyDescent="0.25">
      <c r="A34" s="2"/>
      <c r="B34" s="3" t="s">
        <v>605</v>
      </c>
      <c r="D34" s="2" t="s">
        <v>543</v>
      </c>
      <c r="E34" s="2" t="s">
        <v>133</v>
      </c>
      <c r="F34" s="2" t="s">
        <v>555</v>
      </c>
      <c r="G34" s="2" t="s">
        <v>9</v>
      </c>
      <c r="H34" s="3" t="s">
        <v>14</v>
      </c>
    </row>
    <row r="35" spans="1:12" x14ac:dyDescent="0.25">
      <c r="D35" s="2" t="s">
        <v>543</v>
      </c>
      <c r="E35" s="2" t="s">
        <v>133</v>
      </c>
      <c r="F35" s="2" t="s">
        <v>555</v>
      </c>
      <c r="G35" s="2" t="s">
        <v>9</v>
      </c>
      <c r="H35" s="5" t="s">
        <v>2</v>
      </c>
    </row>
    <row r="36" spans="1:12" x14ac:dyDescent="0.25">
      <c r="D36" s="2" t="s">
        <v>543</v>
      </c>
      <c r="E36" s="2" t="s">
        <v>133</v>
      </c>
      <c r="F36" s="2" t="s">
        <v>555</v>
      </c>
      <c r="G36" s="2" t="s">
        <v>9</v>
      </c>
      <c r="H36" s="5" t="s">
        <v>1</v>
      </c>
    </row>
    <row r="37" spans="1:12" x14ac:dyDescent="0.25">
      <c r="D37" s="2" t="s">
        <v>543</v>
      </c>
      <c r="E37" s="2" t="s">
        <v>133</v>
      </c>
      <c r="F37" s="2" t="s">
        <v>555</v>
      </c>
      <c r="G37" s="2" t="s">
        <v>9</v>
      </c>
      <c r="H37" s="6" t="s">
        <v>12</v>
      </c>
    </row>
    <row r="38" spans="1:12" x14ac:dyDescent="0.25">
      <c r="B38" s="2"/>
      <c r="D38" s="2" t="s">
        <v>594</v>
      </c>
      <c r="E38" s="2" t="s">
        <v>595</v>
      </c>
      <c r="F38" s="2" t="s">
        <v>154</v>
      </c>
      <c r="G38" s="5" t="s">
        <v>133</v>
      </c>
      <c r="H38" s="5" t="s">
        <v>133</v>
      </c>
      <c r="I38" s="2" t="s">
        <v>606</v>
      </c>
      <c r="K38" s="2" t="s">
        <v>562</v>
      </c>
    </row>
    <row r="39" spans="1:12" x14ac:dyDescent="0.25">
      <c r="A39" s="2"/>
      <c r="B39" s="3" t="s">
        <v>433</v>
      </c>
      <c r="D39" s="2" t="s">
        <v>155</v>
      </c>
      <c r="E39" s="2" t="s">
        <v>147</v>
      </c>
      <c r="F39" s="2" t="s">
        <v>153</v>
      </c>
      <c r="G39" s="2" t="s">
        <v>9</v>
      </c>
      <c r="H39" s="5" t="s">
        <v>2</v>
      </c>
      <c r="K39" s="2" t="s">
        <v>562</v>
      </c>
    </row>
    <row r="40" spans="1:12" x14ac:dyDescent="0.25">
      <c r="E40" s="2" t="s">
        <v>156</v>
      </c>
      <c r="F40" s="2" t="s">
        <v>154</v>
      </c>
      <c r="G40" s="2" t="s">
        <v>133</v>
      </c>
      <c r="H40" s="5" t="s">
        <v>133</v>
      </c>
      <c r="I40" s="2" t="s">
        <v>604</v>
      </c>
      <c r="K40" s="2" t="s">
        <v>562</v>
      </c>
    </row>
    <row r="41" spans="1:12" x14ac:dyDescent="0.25">
      <c r="C41" s="2" t="s">
        <v>157</v>
      </c>
      <c r="E41" s="2" t="s">
        <v>158</v>
      </c>
      <c r="F41" s="2" t="s">
        <v>151</v>
      </c>
      <c r="G41" s="2" t="s">
        <v>9</v>
      </c>
      <c r="H41" s="6" t="s">
        <v>11</v>
      </c>
      <c r="J41" s="2" t="s">
        <v>159</v>
      </c>
      <c r="K41" s="2" t="s">
        <v>584</v>
      </c>
      <c r="L41" s="2" t="s">
        <v>160</v>
      </c>
    </row>
    <row r="42" spans="1:12" x14ac:dyDescent="0.25">
      <c r="C42" s="2" t="s">
        <v>161</v>
      </c>
      <c r="E42" s="2" t="s">
        <v>162</v>
      </c>
      <c r="F42" s="2" t="s">
        <v>154</v>
      </c>
      <c r="G42" s="2" t="s">
        <v>9</v>
      </c>
      <c r="H42" s="6" t="s">
        <v>11</v>
      </c>
    </row>
    <row r="43" spans="1:12" x14ac:dyDescent="0.25">
      <c r="C43" s="2" t="s">
        <v>163</v>
      </c>
      <c r="E43" s="2" t="s">
        <v>164</v>
      </c>
      <c r="F43" s="2" t="s">
        <v>165</v>
      </c>
      <c r="G43" s="2" t="s">
        <v>9</v>
      </c>
      <c r="H43" s="6" t="s">
        <v>12</v>
      </c>
      <c r="K43" s="2" t="s">
        <v>585</v>
      </c>
    </row>
    <row r="44" spans="1:12" x14ac:dyDescent="0.25">
      <c r="C44" s="2" t="s">
        <v>166</v>
      </c>
      <c r="E44" s="2" t="s">
        <v>167</v>
      </c>
      <c r="F44" s="2" t="s">
        <v>168</v>
      </c>
      <c r="G44" s="2" t="s">
        <v>9</v>
      </c>
      <c r="H44" s="6" t="s">
        <v>12</v>
      </c>
      <c r="K44" s="2" t="s">
        <v>586</v>
      </c>
    </row>
    <row r="45" spans="1:12" x14ac:dyDescent="0.25">
      <c r="C45" s="2" t="s">
        <v>169</v>
      </c>
      <c r="E45" s="2" t="s">
        <v>170</v>
      </c>
      <c r="F45" s="2" t="s">
        <v>171</v>
      </c>
      <c r="G45" s="2" t="s">
        <v>9</v>
      </c>
      <c r="H45" s="6" t="s">
        <v>12</v>
      </c>
      <c r="K45" s="2" t="s">
        <v>586</v>
      </c>
    </row>
    <row r="46" spans="1:12" x14ac:dyDescent="0.25">
      <c r="E46" s="2" t="s">
        <v>592</v>
      </c>
      <c r="F46" s="2" t="s">
        <v>154</v>
      </c>
      <c r="G46" s="2" t="s">
        <v>133</v>
      </c>
      <c r="H46" s="5" t="s">
        <v>133</v>
      </c>
      <c r="I46" s="2" t="s">
        <v>559</v>
      </c>
    </row>
    <row r="47" spans="1:12" x14ac:dyDescent="0.25">
      <c r="E47" s="2" t="s">
        <v>593</v>
      </c>
      <c r="F47" s="2" t="s">
        <v>154</v>
      </c>
      <c r="G47" s="2" t="s">
        <v>133</v>
      </c>
      <c r="H47" s="5" t="s">
        <v>133</v>
      </c>
      <c r="I47" s="2" t="s">
        <v>559</v>
      </c>
    </row>
    <row r="48" spans="1:12" ht="27" x14ac:dyDescent="0.25">
      <c r="B48" s="3" t="s">
        <v>434</v>
      </c>
      <c r="D48" s="2" t="s">
        <v>130</v>
      </c>
      <c r="E48" s="2" t="s">
        <v>172</v>
      </c>
      <c r="F48" s="2" t="s">
        <v>153</v>
      </c>
      <c r="G48" s="2" t="s">
        <v>9</v>
      </c>
      <c r="H48" s="5" t="s">
        <v>2</v>
      </c>
      <c r="K48" s="2" t="s">
        <v>562</v>
      </c>
    </row>
    <row r="49" spans="1:12" x14ac:dyDescent="0.25">
      <c r="E49" s="2" t="s">
        <v>173</v>
      </c>
      <c r="F49" s="2" t="s">
        <v>132</v>
      </c>
      <c r="G49" s="5" t="s">
        <v>133</v>
      </c>
      <c r="H49" s="5" t="s">
        <v>133</v>
      </c>
      <c r="I49" s="3">
        <v>37171290</v>
      </c>
      <c r="J49" s="2" t="s">
        <v>174</v>
      </c>
      <c r="L49" s="2" t="s">
        <v>511</v>
      </c>
    </row>
    <row r="50" spans="1:12" x14ac:dyDescent="0.25">
      <c r="C50" s="2" t="s">
        <v>175</v>
      </c>
      <c r="E50" s="2" t="s">
        <v>176</v>
      </c>
      <c r="F50" s="2" t="s">
        <v>151</v>
      </c>
      <c r="G50" s="2" t="s">
        <v>9</v>
      </c>
      <c r="H50" s="6" t="s">
        <v>10</v>
      </c>
      <c r="K50" s="2" t="s">
        <v>562</v>
      </c>
    </row>
    <row r="51" spans="1:12" x14ac:dyDescent="0.25">
      <c r="C51" s="2" t="s">
        <v>177</v>
      </c>
      <c r="E51" s="2" t="s">
        <v>178</v>
      </c>
      <c r="F51" s="2" t="s">
        <v>154</v>
      </c>
      <c r="G51" s="2" t="s">
        <v>9</v>
      </c>
      <c r="H51" s="6" t="s">
        <v>10</v>
      </c>
    </row>
    <row r="52" spans="1:12" x14ac:dyDescent="0.25">
      <c r="B52" s="3" t="s">
        <v>435</v>
      </c>
      <c r="D52" s="2" t="s">
        <v>179</v>
      </c>
      <c r="E52" s="2" t="s">
        <v>180</v>
      </c>
      <c r="F52" s="2" t="s">
        <v>132</v>
      </c>
      <c r="G52" s="5" t="s">
        <v>133</v>
      </c>
      <c r="H52" s="5" t="s">
        <v>133</v>
      </c>
      <c r="I52" s="10">
        <v>32879</v>
      </c>
      <c r="J52" s="1" t="s">
        <v>134</v>
      </c>
      <c r="K52" s="1"/>
      <c r="L52" s="2" t="s">
        <v>512</v>
      </c>
    </row>
    <row r="53" spans="1:12" x14ac:dyDescent="0.25">
      <c r="C53" s="2" t="s">
        <v>181</v>
      </c>
      <c r="E53" s="2" t="s">
        <v>182</v>
      </c>
      <c r="F53" s="2" t="s">
        <v>183</v>
      </c>
      <c r="G53" s="2" t="s">
        <v>9</v>
      </c>
      <c r="H53" s="6" t="s">
        <v>13</v>
      </c>
      <c r="K53" s="2" t="s">
        <v>583</v>
      </c>
    </row>
    <row r="54" spans="1:12" x14ac:dyDescent="0.25">
      <c r="C54" s="2" t="s">
        <v>184</v>
      </c>
      <c r="E54" s="2" t="s">
        <v>185</v>
      </c>
      <c r="F54" s="2" t="s">
        <v>151</v>
      </c>
      <c r="G54" s="2" t="s">
        <v>9</v>
      </c>
      <c r="H54" s="6" t="s">
        <v>15</v>
      </c>
    </row>
    <row r="55" spans="1:12" x14ac:dyDescent="0.25">
      <c r="C55" s="2" t="s">
        <v>186</v>
      </c>
      <c r="E55" s="2" t="s">
        <v>187</v>
      </c>
      <c r="F55" s="2" t="s">
        <v>154</v>
      </c>
      <c r="G55" s="2" t="s">
        <v>9</v>
      </c>
      <c r="H55" s="6" t="s">
        <v>15</v>
      </c>
    </row>
    <row r="56" spans="1:12" ht="27" x14ac:dyDescent="0.25">
      <c r="B56" s="3" t="s">
        <v>481</v>
      </c>
      <c r="E56" s="2" t="s">
        <v>188</v>
      </c>
      <c r="G56" s="2" t="s">
        <v>9</v>
      </c>
      <c r="H56" s="7" t="s">
        <v>16</v>
      </c>
    </row>
    <row r="57" spans="1:12" x14ac:dyDescent="0.25">
      <c r="E57" s="2" t="s">
        <v>188</v>
      </c>
      <c r="G57" s="2" t="s">
        <v>9</v>
      </c>
      <c r="H57" s="7" t="s">
        <v>17</v>
      </c>
    </row>
    <row r="58" spans="1:12" x14ac:dyDescent="0.25">
      <c r="E58" s="2" t="s">
        <v>188</v>
      </c>
      <c r="G58" s="2" t="s">
        <v>9</v>
      </c>
      <c r="H58" s="7" t="s">
        <v>18</v>
      </c>
    </row>
    <row r="59" spans="1:12" x14ac:dyDescent="0.25">
      <c r="A59" s="5" t="s">
        <v>535</v>
      </c>
      <c r="B59" s="3" t="s">
        <v>436</v>
      </c>
      <c r="D59" s="2" t="s">
        <v>543</v>
      </c>
      <c r="E59" s="2" t="s">
        <v>133</v>
      </c>
      <c r="F59" s="2" t="s">
        <v>555</v>
      </c>
      <c r="G59" s="2" t="s">
        <v>34</v>
      </c>
      <c r="H59" s="5" t="s">
        <v>20</v>
      </c>
      <c r="K59" s="2" t="s">
        <v>562</v>
      </c>
    </row>
    <row r="60" spans="1:12" x14ac:dyDescent="0.25">
      <c r="A60" s="2"/>
      <c r="D60" s="2" t="s">
        <v>145</v>
      </c>
      <c r="E60" s="2" t="s">
        <v>189</v>
      </c>
      <c r="F60" s="2" t="s">
        <v>153</v>
      </c>
      <c r="G60" s="2" t="s">
        <v>34</v>
      </c>
      <c r="H60" s="5" t="s">
        <v>20</v>
      </c>
      <c r="K60" s="2" t="s">
        <v>562</v>
      </c>
    </row>
    <row r="61" spans="1:12" x14ac:dyDescent="0.25">
      <c r="C61" s="2" t="s">
        <v>190</v>
      </c>
      <c r="E61" s="2" t="s">
        <v>191</v>
      </c>
      <c r="F61" s="2" t="s">
        <v>192</v>
      </c>
      <c r="G61" s="2" t="s">
        <v>34</v>
      </c>
      <c r="H61" s="6" t="s">
        <v>36</v>
      </c>
      <c r="J61" s="2" t="s">
        <v>193</v>
      </c>
      <c r="K61" s="2" t="s">
        <v>584</v>
      </c>
    </row>
    <row r="62" spans="1:12" x14ac:dyDescent="0.25">
      <c r="C62" s="2" t="s">
        <v>194</v>
      </c>
      <c r="E62" s="2" t="s">
        <v>195</v>
      </c>
      <c r="F62" s="2" t="s">
        <v>154</v>
      </c>
      <c r="G62" s="2" t="s">
        <v>34</v>
      </c>
      <c r="H62" s="6" t="s">
        <v>36</v>
      </c>
    </row>
    <row r="63" spans="1:12" x14ac:dyDescent="0.25">
      <c r="C63" s="2" t="s">
        <v>196</v>
      </c>
      <c r="E63" s="2" t="s">
        <v>197</v>
      </c>
      <c r="F63" s="2" t="s">
        <v>183</v>
      </c>
      <c r="G63" s="5" t="s">
        <v>34</v>
      </c>
      <c r="H63" s="6" t="s">
        <v>35</v>
      </c>
      <c r="I63" s="2"/>
      <c r="K63" s="2" t="s">
        <v>583</v>
      </c>
    </row>
    <row r="64" spans="1:12" x14ac:dyDescent="0.25">
      <c r="E64" s="2" t="s">
        <v>198</v>
      </c>
      <c r="F64" s="2" t="s">
        <v>132</v>
      </c>
      <c r="G64" s="5" t="s">
        <v>133</v>
      </c>
      <c r="H64" s="5" t="s">
        <v>133</v>
      </c>
      <c r="I64" s="10">
        <v>32902</v>
      </c>
      <c r="J64" s="1" t="s">
        <v>199</v>
      </c>
      <c r="K64" s="1"/>
      <c r="L64" s="2" t="s">
        <v>34</v>
      </c>
    </row>
    <row r="65" spans="2:12" x14ac:dyDescent="0.25">
      <c r="B65" s="3" t="s">
        <v>437</v>
      </c>
      <c r="D65" s="2" t="s">
        <v>136</v>
      </c>
      <c r="E65" s="2" t="s">
        <v>200</v>
      </c>
      <c r="F65" s="2" t="s">
        <v>153</v>
      </c>
      <c r="G65" s="2" t="s">
        <v>34</v>
      </c>
      <c r="H65" s="5" t="s">
        <v>20</v>
      </c>
      <c r="K65" s="2" t="s">
        <v>562</v>
      </c>
    </row>
    <row r="66" spans="2:12" x14ac:dyDescent="0.25">
      <c r="E66" s="2" t="s">
        <v>201</v>
      </c>
      <c r="F66" s="2" t="s">
        <v>132</v>
      </c>
      <c r="G66" s="5" t="s">
        <v>133</v>
      </c>
      <c r="H66" s="5" t="s">
        <v>133</v>
      </c>
      <c r="I66" s="3" t="s">
        <v>202</v>
      </c>
      <c r="J66" s="2" t="s">
        <v>203</v>
      </c>
      <c r="L66" s="2" t="s">
        <v>204</v>
      </c>
    </row>
    <row r="67" spans="2:12" x14ac:dyDescent="0.25">
      <c r="E67" s="2" t="s">
        <v>205</v>
      </c>
      <c r="F67" s="2" t="s">
        <v>132</v>
      </c>
      <c r="G67" s="5" t="s">
        <v>133</v>
      </c>
      <c r="H67" s="5" t="s">
        <v>133</v>
      </c>
      <c r="I67" s="3">
        <v>0</v>
      </c>
    </row>
    <row r="68" spans="2:12" x14ac:dyDescent="0.25">
      <c r="E68" s="2" t="s">
        <v>206</v>
      </c>
      <c r="F68" s="2" t="s">
        <v>192</v>
      </c>
      <c r="G68" s="2" t="s">
        <v>34</v>
      </c>
      <c r="H68" s="6" t="s">
        <v>36</v>
      </c>
      <c r="I68" s="5"/>
      <c r="J68" s="2" t="s">
        <v>193</v>
      </c>
      <c r="K68" s="2" t="s">
        <v>584</v>
      </c>
    </row>
    <row r="69" spans="2:12" x14ac:dyDescent="0.25">
      <c r="E69" s="2" t="s">
        <v>207</v>
      </c>
      <c r="F69" s="2" t="s">
        <v>132</v>
      </c>
      <c r="G69" s="5" t="s">
        <v>133</v>
      </c>
      <c r="H69" s="5" t="s">
        <v>133</v>
      </c>
      <c r="I69" s="5">
        <v>1</v>
      </c>
    </row>
    <row r="70" spans="2:12" x14ac:dyDescent="0.25">
      <c r="E70" s="2" t="s">
        <v>208</v>
      </c>
      <c r="F70" s="2" t="s">
        <v>154</v>
      </c>
      <c r="G70" s="5" t="s">
        <v>133</v>
      </c>
      <c r="H70" s="5" t="s">
        <v>133</v>
      </c>
      <c r="I70" s="2" t="s">
        <v>546</v>
      </c>
    </row>
    <row r="71" spans="2:12" x14ac:dyDescent="0.25">
      <c r="E71" s="2" t="s">
        <v>209</v>
      </c>
      <c r="F71" s="2" t="s">
        <v>154</v>
      </c>
      <c r="G71" s="5" t="s">
        <v>133</v>
      </c>
      <c r="H71" s="5" t="s">
        <v>133</v>
      </c>
      <c r="I71" s="2" t="s">
        <v>546</v>
      </c>
    </row>
    <row r="72" spans="2:12" ht="27" x14ac:dyDescent="0.25">
      <c r="B72" s="3" t="s">
        <v>485</v>
      </c>
      <c r="D72" s="2" t="s">
        <v>210</v>
      </c>
      <c r="E72" s="2" t="s">
        <v>200</v>
      </c>
      <c r="F72" s="2" t="s">
        <v>148</v>
      </c>
      <c r="G72" s="2" t="s">
        <v>34</v>
      </c>
      <c r="H72" s="5" t="s">
        <v>20</v>
      </c>
      <c r="I72" s="5" t="str">
        <f>$B$65</f>
        <v>OMOP Primary Dx Episode</v>
      </c>
      <c r="K72" s="2" t="s">
        <v>562</v>
      </c>
    </row>
    <row r="73" spans="2:12" x14ac:dyDescent="0.25">
      <c r="E73" s="2" t="s">
        <v>211</v>
      </c>
      <c r="F73" s="2" t="s">
        <v>148</v>
      </c>
      <c r="G73" s="2" t="s">
        <v>34</v>
      </c>
      <c r="H73" s="5" t="s">
        <v>20</v>
      </c>
      <c r="I73" s="5" t="str">
        <f>$B$59</f>
        <v>OMOP Primary Dx Condition</v>
      </c>
      <c r="K73" s="2" t="s">
        <v>562</v>
      </c>
    </row>
    <row r="74" spans="2:12" x14ac:dyDescent="0.25">
      <c r="E74" s="2" t="s">
        <v>212</v>
      </c>
      <c r="F74" s="2" t="s">
        <v>132</v>
      </c>
      <c r="G74" s="5" t="s">
        <v>133</v>
      </c>
      <c r="H74" s="5" t="s">
        <v>133</v>
      </c>
      <c r="I74" s="3">
        <v>1147127</v>
      </c>
      <c r="J74" s="2" t="s">
        <v>152</v>
      </c>
      <c r="L74" s="2" t="s">
        <v>513</v>
      </c>
    </row>
    <row r="75" spans="2:12" ht="27" x14ac:dyDescent="0.25">
      <c r="B75" s="3" t="s">
        <v>439</v>
      </c>
      <c r="D75" s="2" t="s">
        <v>140</v>
      </c>
      <c r="E75" s="2" t="s">
        <v>213</v>
      </c>
      <c r="F75" s="2" t="s">
        <v>153</v>
      </c>
      <c r="G75" s="2" t="s">
        <v>34</v>
      </c>
      <c r="H75" s="5" t="s">
        <v>20</v>
      </c>
      <c r="K75" s="2" t="s">
        <v>562</v>
      </c>
    </row>
    <row r="76" spans="2:12" x14ac:dyDescent="0.25">
      <c r="E76" s="2" t="s">
        <v>214</v>
      </c>
      <c r="F76" s="2" t="s">
        <v>132</v>
      </c>
      <c r="G76" s="5" t="s">
        <v>133</v>
      </c>
      <c r="H76" s="5" t="s">
        <v>133</v>
      </c>
      <c r="I76" s="3">
        <v>734306</v>
      </c>
      <c r="J76" s="2" t="s">
        <v>215</v>
      </c>
      <c r="L76" s="2" t="s">
        <v>216</v>
      </c>
    </row>
    <row r="77" spans="2:12" x14ac:dyDescent="0.25">
      <c r="E77" s="2" t="s">
        <v>142</v>
      </c>
      <c r="F77" s="2" t="s">
        <v>154</v>
      </c>
      <c r="G77" s="5" t="s">
        <v>133</v>
      </c>
      <c r="H77" s="5" t="s">
        <v>133</v>
      </c>
      <c r="I77" s="2" t="s">
        <v>546</v>
      </c>
    </row>
    <row r="78" spans="2:12" x14ac:dyDescent="0.25">
      <c r="E78" s="2" t="s">
        <v>149</v>
      </c>
      <c r="F78" s="2" t="s">
        <v>148</v>
      </c>
      <c r="G78" s="2" t="s">
        <v>34</v>
      </c>
      <c r="H78" s="5" t="s">
        <v>20</v>
      </c>
      <c r="I78" s="5" t="str">
        <f>$B$59</f>
        <v>OMOP Primary Dx Condition</v>
      </c>
      <c r="K78" s="2" t="s">
        <v>562</v>
      </c>
    </row>
    <row r="79" spans="2:12" x14ac:dyDescent="0.25">
      <c r="E79" s="2" t="s">
        <v>150</v>
      </c>
      <c r="F79" s="2" t="s">
        <v>132</v>
      </c>
      <c r="G79" s="5" t="s">
        <v>133</v>
      </c>
      <c r="H79" s="5" t="s">
        <v>133</v>
      </c>
      <c r="I79" s="3">
        <v>1147127</v>
      </c>
      <c r="J79" s="2" t="s">
        <v>152</v>
      </c>
      <c r="L79" s="2" t="s">
        <v>513</v>
      </c>
    </row>
    <row r="80" spans="2:12" x14ac:dyDescent="0.25">
      <c r="C80" s="2" t="s">
        <v>217</v>
      </c>
      <c r="E80" s="2" t="s">
        <v>176</v>
      </c>
      <c r="F80" s="2" t="s">
        <v>151</v>
      </c>
      <c r="G80" s="2" t="s">
        <v>34</v>
      </c>
      <c r="H80" s="6" t="s">
        <v>38</v>
      </c>
    </row>
    <row r="81" spans="2:12" x14ac:dyDescent="0.25">
      <c r="C81" s="2" t="s">
        <v>218</v>
      </c>
      <c r="E81" s="2" t="s">
        <v>178</v>
      </c>
      <c r="F81" s="2" t="s">
        <v>154</v>
      </c>
      <c r="G81" s="2" t="s">
        <v>34</v>
      </c>
      <c r="H81" s="6" t="s">
        <v>38</v>
      </c>
    </row>
    <row r="82" spans="2:12" ht="27" x14ac:dyDescent="0.25">
      <c r="B82" s="3" t="s">
        <v>440</v>
      </c>
      <c r="D82" s="2" t="s">
        <v>140</v>
      </c>
      <c r="E82" s="2" t="s">
        <v>213</v>
      </c>
      <c r="F82" s="2" t="s">
        <v>153</v>
      </c>
      <c r="G82" s="2" t="s">
        <v>34</v>
      </c>
      <c r="H82" s="5" t="s">
        <v>20</v>
      </c>
      <c r="K82" s="2" t="s">
        <v>562</v>
      </c>
    </row>
    <row r="83" spans="2:12" x14ac:dyDescent="0.25">
      <c r="E83" s="2" t="s">
        <v>214</v>
      </c>
      <c r="F83" s="2" t="s">
        <v>132</v>
      </c>
      <c r="G83" s="5" t="s">
        <v>133</v>
      </c>
      <c r="H83" s="5" t="s">
        <v>133</v>
      </c>
      <c r="I83" s="3" t="s">
        <v>219</v>
      </c>
      <c r="J83" s="2" t="s">
        <v>220</v>
      </c>
      <c r="L83" s="2" t="s">
        <v>514</v>
      </c>
    </row>
    <row r="84" spans="2:12" x14ac:dyDescent="0.25">
      <c r="E84" s="2" t="s">
        <v>142</v>
      </c>
      <c r="F84" s="2" t="s">
        <v>154</v>
      </c>
      <c r="G84" s="5" t="s">
        <v>133</v>
      </c>
      <c r="H84" s="5" t="s">
        <v>133</v>
      </c>
      <c r="I84" s="2" t="s">
        <v>546</v>
      </c>
    </row>
    <row r="85" spans="2:12" x14ac:dyDescent="0.25">
      <c r="E85" s="2" t="s">
        <v>149</v>
      </c>
      <c r="F85" s="2" t="s">
        <v>148</v>
      </c>
      <c r="G85" s="2" t="s">
        <v>34</v>
      </c>
      <c r="H85" s="5" t="s">
        <v>20</v>
      </c>
      <c r="I85" s="5" t="str">
        <f>$B$59</f>
        <v>OMOP Primary Dx Condition</v>
      </c>
      <c r="K85" s="2" t="s">
        <v>562</v>
      </c>
    </row>
    <row r="86" spans="2:12" x14ac:dyDescent="0.25">
      <c r="E86" s="2" t="s">
        <v>150</v>
      </c>
      <c r="F86" s="2" t="s">
        <v>132</v>
      </c>
      <c r="G86" s="5" t="s">
        <v>133</v>
      </c>
      <c r="H86" s="5" t="s">
        <v>133</v>
      </c>
      <c r="I86" s="3">
        <v>1147127</v>
      </c>
      <c r="J86" s="2" t="s">
        <v>152</v>
      </c>
      <c r="L86" s="2" t="s">
        <v>513</v>
      </c>
    </row>
    <row r="87" spans="2:12" x14ac:dyDescent="0.25">
      <c r="C87" s="2" t="s">
        <v>221</v>
      </c>
      <c r="E87" s="2" t="s">
        <v>176</v>
      </c>
      <c r="F87" s="2" t="s">
        <v>151</v>
      </c>
      <c r="G87" s="2" t="s">
        <v>34</v>
      </c>
      <c r="H87" s="6" t="s">
        <v>39</v>
      </c>
      <c r="K87" s="2" t="s">
        <v>562</v>
      </c>
    </row>
    <row r="88" spans="2:12" x14ac:dyDescent="0.25">
      <c r="C88" s="2" t="s">
        <v>222</v>
      </c>
      <c r="E88" s="2" t="s">
        <v>178</v>
      </c>
      <c r="F88" s="2" t="s">
        <v>154</v>
      </c>
      <c r="G88" s="2" t="s">
        <v>34</v>
      </c>
      <c r="H88" s="6" t="s">
        <v>39</v>
      </c>
    </row>
    <row r="89" spans="2:12" ht="27" x14ac:dyDescent="0.25">
      <c r="B89" s="3" t="s">
        <v>441</v>
      </c>
      <c r="D89" s="2" t="s">
        <v>130</v>
      </c>
      <c r="E89" s="2" t="s">
        <v>172</v>
      </c>
      <c r="F89" s="2" t="s">
        <v>153</v>
      </c>
      <c r="G89" s="2" t="s">
        <v>34</v>
      </c>
      <c r="H89" s="5" t="s">
        <v>20</v>
      </c>
      <c r="K89" s="2" t="s">
        <v>562</v>
      </c>
    </row>
    <row r="90" spans="2:12" x14ac:dyDescent="0.25">
      <c r="E90" s="2" t="s">
        <v>173</v>
      </c>
      <c r="F90" s="2" t="s">
        <v>132</v>
      </c>
      <c r="G90" s="5" t="s">
        <v>133</v>
      </c>
      <c r="H90" s="5" t="s">
        <v>133</v>
      </c>
      <c r="I90" s="3" t="s">
        <v>223</v>
      </c>
      <c r="J90" s="2" t="s">
        <v>224</v>
      </c>
      <c r="L90" s="2" t="s">
        <v>225</v>
      </c>
    </row>
    <row r="91" spans="2:12" x14ac:dyDescent="0.25">
      <c r="E91" s="2" t="s">
        <v>135</v>
      </c>
      <c r="F91" s="2" t="s">
        <v>154</v>
      </c>
      <c r="G91" s="5" t="s">
        <v>133</v>
      </c>
      <c r="H91" s="5" t="s">
        <v>133</v>
      </c>
      <c r="I91" s="2" t="s">
        <v>546</v>
      </c>
    </row>
    <row r="92" spans="2:12" x14ac:dyDescent="0.25">
      <c r="C92" s="2" t="s">
        <v>226</v>
      </c>
      <c r="E92" s="2" t="s">
        <v>176</v>
      </c>
      <c r="F92" s="2" t="s">
        <v>151</v>
      </c>
      <c r="G92" s="2" t="s">
        <v>34</v>
      </c>
      <c r="H92" s="6" t="s">
        <v>37</v>
      </c>
      <c r="K92" s="2" t="s">
        <v>562</v>
      </c>
    </row>
    <row r="93" spans="2:12" x14ac:dyDescent="0.25">
      <c r="C93" s="2" t="s">
        <v>227</v>
      </c>
      <c r="E93" s="2" t="s">
        <v>178</v>
      </c>
      <c r="F93" s="2" t="s">
        <v>154</v>
      </c>
      <c r="G93" s="2" t="s">
        <v>34</v>
      </c>
      <c r="H93" s="6" t="s">
        <v>37</v>
      </c>
    </row>
    <row r="94" spans="2:12" x14ac:dyDescent="0.25">
      <c r="E94" s="2" t="s">
        <v>228</v>
      </c>
      <c r="F94" s="2" t="s">
        <v>148</v>
      </c>
      <c r="G94" s="2" t="s">
        <v>34</v>
      </c>
      <c r="H94" s="5" t="s">
        <v>20</v>
      </c>
      <c r="I94" s="5" t="str">
        <f>$B$59</f>
        <v>OMOP Primary Dx Condition</v>
      </c>
      <c r="K94" s="2" t="s">
        <v>562</v>
      </c>
    </row>
    <row r="95" spans="2:12" x14ac:dyDescent="0.25">
      <c r="E95" s="2" t="s">
        <v>229</v>
      </c>
      <c r="F95" s="2" t="s">
        <v>132</v>
      </c>
      <c r="G95" s="5" t="s">
        <v>133</v>
      </c>
      <c r="H95" s="5" t="s">
        <v>133</v>
      </c>
      <c r="I95" s="3">
        <v>1147127</v>
      </c>
      <c r="J95" s="2" t="s">
        <v>152</v>
      </c>
      <c r="L95" s="2" t="s">
        <v>513</v>
      </c>
    </row>
    <row r="96" spans="2:12" ht="27" x14ac:dyDescent="0.25">
      <c r="B96" s="3" t="s">
        <v>431</v>
      </c>
      <c r="D96" s="2" t="s">
        <v>140</v>
      </c>
      <c r="E96" s="2" t="s">
        <v>213</v>
      </c>
      <c r="F96" s="2" t="s">
        <v>153</v>
      </c>
      <c r="G96" s="2" t="s">
        <v>34</v>
      </c>
      <c r="H96" s="5" t="s">
        <v>20</v>
      </c>
      <c r="K96" s="2" t="s">
        <v>562</v>
      </c>
    </row>
    <row r="97" spans="2:12" x14ac:dyDescent="0.25">
      <c r="E97" s="2" t="s">
        <v>214</v>
      </c>
      <c r="F97" s="2" t="s">
        <v>132</v>
      </c>
      <c r="G97" s="5" t="s">
        <v>133</v>
      </c>
      <c r="H97" s="5" t="s">
        <v>133</v>
      </c>
      <c r="I97" s="3" t="s">
        <v>518</v>
      </c>
      <c r="J97" s="2" t="s">
        <v>174</v>
      </c>
      <c r="L97" s="2" t="s">
        <v>519</v>
      </c>
    </row>
    <row r="98" spans="2:12" x14ac:dyDescent="0.25">
      <c r="E98" s="2" t="s">
        <v>142</v>
      </c>
      <c r="F98" s="2" t="s">
        <v>154</v>
      </c>
      <c r="G98" s="5" t="s">
        <v>133</v>
      </c>
      <c r="H98" s="5" t="s">
        <v>133</v>
      </c>
      <c r="I98" s="2" t="s">
        <v>546</v>
      </c>
    </row>
    <row r="99" spans="2:12" x14ac:dyDescent="0.25">
      <c r="E99" s="2" t="s">
        <v>149</v>
      </c>
      <c r="F99" s="2" t="s">
        <v>148</v>
      </c>
      <c r="G99" s="2" t="s">
        <v>34</v>
      </c>
      <c r="H99" s="5" t="s">
        <v>20</v>
      </c>
      <c r="I99" s="5" t="str">
        <f>$B$59</f>
        <v>OMOP Primary Dx Condition</v>
      </c>
      <c r="K99" s="2" t="s">
        <v>562</v>
      </c>
    </row>
    <row r="100" spans="2:12" x14ac:dyDescent="0.25">
      <c r="E100" s="2" t="s">
        <v>150</v>
      </c>
      <c r="F100" s="2" t="s">
        <v>132</v>
      </c>
      <c r="G100" s="5" t="s">
        <v>133</v>
      </c>
      <c r="H100" s="5" t="s">
        <v>133</v>
      </c>
      <c r="I100" s="3">
        <v>1147127</v>
      </c>
      <c r="J100" s="2" t="s">
        <v>152</v>
      </c>
      <c r="L100" s="2" t="s">
        <v>513</v>
      </c>
    </row>
    <row r="101" spans="2:12" x14ac:dyDescent="0.25">
      <c r="C101" s="2" t="s">
        <v>233</v>
      </c>
      <c r="E101" s="2" t="s">
        <v>176</v>
      </c>
      <c r="F101" s="2" t="s">
        <v>151</v>
      </c>
      <c r="G101" s="2" t="s">
        <v>34</v>
      </c>
      <c r="H101" s="6" t="s">
        <v>44</v>
      </c>
      <c r="K101" s="2" t="s">
        <v>562</v>
      </c>
    </row>
    <row r="102" spans="2:12" x14ac:dyDescent="0.25">
      <c r="C102" s="2" t="s">
        <v>234</v>
      </c>
      <c r="E102" s="2" t="s">
        <v>178</v>
      </c>
      <c r="F102" s="2" t="s">
        <v>154</v>
      </c>
      <c r="G102" s="2" t="s">
        <v>34</v>
      </c>
      <c r="H102" s="6" t="s">
        <v>44</v>
      </c>
    </row>
    <row r="103" spans="2:12" ht="27" x14ac:dyDescent="0.25">
      <c r="B103" s="3" t="s">
        <v>432</v>
      </c>
      <c r="D103" s="2" t="s">
        <v>140</v>
      </c>
      <c r="E103" s="2" t="s">
        <v>213</v>
      </c>
      <c r="F103" s="2" t="s">
        <v>153</v>
      </c>
      <c r="G103" s="2" t="s">
        <v>34</v>
      </c>
      <c r="H103" s="5" t="s">
        <v>20</v>
      </c>
      <c r="K103" s="2" t="s">
        <v>562</v>
      </c>
    </row>
    <row r="104" spans="2:12" x14ac:dyDescent="0.25">
      <c r="E104" s="2" t="s">
        <v>214</v>
      </c>
      <c r="F104" s="2" t="s">
        <v>132</v>
      </c>
      <c r="G104" s="5" t="s">
        <v>133</v>
      </c>
      <c r="H104" s="5" t="s">
        <v>133</v>
      </c>
      <c r="I104" s="3" t="s">
        <v>520</v>
      </c>
      <c r="J104" s="2" t="s">
        <v>174</v>
      </c>
      <c r="L104" s="2" t="s">
        <v>521</v>
      </c>
    </row>
    <row r="105" spans="2:12" x14ac:dyDescent="0.25">
      <c r="E105" s="2" t="s">
        <v>142</v>
      </c>
      <c r="F105" s="2" t="s">
        <v>154</v>
      </c>
      <c r="G105" s="5" t="s">
        <v>133</v>
      </c>
      <c r="H105" s="5" t="s">
        <v>133</v>
      </c>
      <c r="I105" s="2" t="s">
        <v>546</v>
      </c>
    </row>
    <row r="106" spans="2:12" x14ac:dyDescent="0.25">
      <c r="E106" s="2" t="s">
        <v>149</v>
      </c>
      <c r="F106" s="2" t="s">
        <v>148</v>
      </c>
      <c r="G106" s="2" t="s">
        <v>34</v>
      </c>
      <c r="H106" s="5" t="s">
        <v>20</v>
      </c>
      <c r="I106" s="5" t="str">
        <f>$B$59</f>
        <v>OMOP Primary Dx Condition</v>
      </c>
      <c r="K106" s="2" t="s">
        <v>562</v>
      </c>
    </row>
    <row r="107" spans="2:12" x14ac:dyDescent="0.25">
      <c r="E107" s="2" t="s">
        <v>150</v>
      </c>
      <c r="F107" s="2" t="s">
        <v>132</v>
      </c>
      <c r="G107" s="5" t="s">
        <v>133</v>
      </c>
      <c r="H107" s="5" t="s">
        <v>133</v>
      </c>
      <c r="I107" s="3">
        <v>1147127</v>
      </c>
      <c r="J107" s="2" t="s">
        <v>152</v>
      </c>
      <c r="L107" s="2" t="s">
        <v>513</v>
      </c>
    </row>
    <row r="108" spans="2:12" x14ac:dyDescent="0.25">
      <c r="C108" s="2" t="s">
        <v>235</v>
      </c>
      <c r="E108" s="2" t="s">
        <v>176</v>
      </c>
      <c r="F108" s="2" t="s">
        <v>151</v>
      </c>
      <c r="G108" s="2" t="s">
        <v>34</v>
      </c>
      <c r="H108" s="6" t="s">
        <v>45</v>
      </c>
      <c r="K108" s="2" t="s">
        <v>562</v>
      </c>
    </row>
    <row r="109" spans="2:12" x14ac:dyDescent="0.25">
      <c r="C109" s="2" t="s">
        <v>236</v>
      </c>
      <c r="E109" s="2" t="s">
        <v>178</v>
      </c>
      <c r="F109" s="2" t="s">
        <v>154</v>
      </c>
      <c r="G109" s="2" t="s">
        <v>34</v>
      </c>
      <c r="H109" s="6" t="s">
        <v>45</v>
      </c>
    </row>
    <row r="110" spans="2:12" ht="27" x14ac:dyDescent="0.25">
      <c r="B110" s="3" t="s">
        <v>438</v>
      </c>
      <c r="D110" s="2" t="s">
        <v>140</v>
      </c>
      <c r="E110" s="2" t="s">
        <v>213</v>
      </c>
      <c r="F110" s="2" t="s">
        <v>153</v>
      </c>
      <c r="G110" s="2" t="s">
        <v>34</v>
      </c>
      <c r="H110" s="5" t="s">
        <v>20</v>
      </c>
      <c r="K110" s="2" t="s">
        <v>562</v>
      </c>
    </row>
    <row r="111" spans="2:12" x14ac:dyDescent="0.25">
      <c r="E111" s="2" t="s">
        <v>214</v>
      </c>
      <c r="F111" s="2" t="s">
        <v>132</v>
      </c>
      <c r="G111" s="5" t="s">
        <v>133</v>
      </c>
      <c r="H111" s="5" t="s">
        <v>133</v>
      </c>
      <c r="I111" s="3" t="s">
        <v>522</v>
      </c>
      <c r="J111" s="2" t="s">
        <v>174</v>
      </c>
      <c r="L111" s="2" t="s">
        <v>523</v>
      </c>
    </row>
    <row r="112" spans="2:12" x14ac:dyDescent="0.25">
      <c r="E112" s="2" t="s">
        <v>142</v>
      </c>
      <c r="F112" s="2" t="s">
        <v>154</v>
      </c>
      <c r="G112" s="5" t="s">
        <v>133</v>
      </c>
      <c r="H112" s="5" t="s">
        <v>133</v>
      </c>
      <c r="I112" s="2" t="s">
        <v>546</v>
      </c>
    </row>
    <row r="113" spans="2:12" x14ac:dyDescent="0.25">
      <c r="E113" s="2" t="s">
        <v>149</v>
      </c>
      <c r="F113" s="2" t="s">
        <v>148</v>
      </c>
      <c r="G113" s="2" t="s">
        <v>34</v>
      </c>
      <c r="H113" s="5" t="s">
        <v>20</v>
      </c>
      <c r="I113" s="5" t="str">
        <f>$B$59</f>
        <v>OMOP Primary Dx Condition</v>
      </c>
      <c r="K113" s="2" t="s">
        <v>562</v>
      </c>
    </row>
    <row r="114" spans="2:12" x14ac:dyDescent="0.25">
      <c r="E114" s="2" t="s">
        <v>150</v>
      </c>
      <c r="F114" s="2" t="s">
        <v>132</v>
      </c>
      <c r="G114" s="5" t="s">
        <v>133</v>
      </c>
      <c r="H114" s="5" t="s">
        <v>133</v>
      </c>
      <c r="I114" s="3">
        <v>1147127</v>
      </c>
      <c r="J114" s="2" t="s">
        <v>152</v>
      </c>
      <c r="L114" s="2" t="s">
        <v>513</v>
      </c>
    </row>
    <row r="115" spans="2:12" x14ac:dyDescent="0.25">
      <c r="C115" s="2" t="s">
        <v>237</v>
      </c>
      <c r="E115" s="2" t="s">
        <v>176</v>
      </c>
      <c r="F115" s="2" t="s">
        <v>151</v>
      </c>
      <c r="G115" s="2" t="s">
        <v>34</v>
      </c>
      <c r="H115" s="6" t="s">
        <v>46</v>
      </c>
      <c r="K115" s="2" t="s">
        <v>562</v>
      </c>
    </row>
    <row r="116" spans="2:12" x14ac:dyDescent="0.25">
      <c r="C116" s="2" t="s">
        <v>238</v>
      </c>
      <c r="E116" s="2" t="s">
        <v>178</v>
      </c>
      <c r="F116" s="2" t="s">
        <v>154</v>
      </c>
      <c r="G116" s="2" t="s">
        <v>34</v>
      </c>
      <c r="H116" s="6" t="s">
        <v>46</v>
      </c>
    </row>
    <row r="117" spans="2:12" ht="27" x14ac:dyDescent="0.25">
      <c r="B117" s="3" t="s">
        <v>442</v>
      </c>
      <c r="D117" s="2" t="s">
        <v>140</v>
      </c>
      <c r="E117" s="2" t="s">
        <v>213</v>
      </c>
      <c r="F117" s="2" t="s">
        <v>153</v>
      </c>
      <c r="G117" s="2" t="s">
        <v>34</v>
      </c>
      <c r="H117" s="5" t="s">
        <v>20</v>
      </c>
      <c r="K117" s="2" t="s">
        <v>562</v>
      </c>
    </row>
    <row r="118" spans="2:12" x14ac:dyDescent="0.25">
      <c r="C118" s="2" t="s">
        <v>230</v>
      </c>
      <c r="E118" s="2" t="s">
        <v>214</v>
      </c>
      <c r="F118" s="2" t="s">
        <v>151</v>
      </c>
      <c r="G118" s="2" t="s">
        <v>34</v>
      </c>
      <c r="H118" s="6" t="s">
        <v>40</v>
      </c>
      <c r="K118" s="2" t="s">
        <v>584</v>
      </c>
    </row>
    <row r="119" spans="2:12" x14ac:dyDescent="0.25">
      <c r="C119" s="2" t="s">
        <v>231</v>
      </c>
      <c r="E119" s="2" t="s">
        <v>232</v>
      </c>
      <c r="F119" s="2" t="s">
        <v>154</v>
      </c>
      <c r="G119" s="2" t="s">
        <v>34</v>
      </c>
      <c r="H119" s="6" t="s">
        <v>40</v>
      </c>
    </row>
    <row r="120" spans="2:12" x14ac:dyDescent="0.25">
      <c r="E120" s="2" t="s">
        <v>142</v>
      </c>
      <c r="F120" s="2" t="s">
        <v>154</v>
      </c>
      <c r="G120" s="5" t="s">
        <v>133</v>
      </c>
      <c r="H120" s="5" t="s">
        <v>133</v>
      </c>
      <c r="I120" s="2" t="s">
        <v>546</v>
      </c>
    </row>
    <row r="121" spans="2:12" x14ac:dyDescent="0.25">
      <c r="E121" s="2" t="s">
        <v>149</v>
      </c>
      <c r="F121" s="2" t="s">
        <v>148</v>
      </c>
      <c r="G121" s="2" t="s">
        <v>34</v>
      </c>
      <c r="H121" s="5" t="s">
        <v>20</v>
      </c>
      <c r="I121" s="5" t="str">
        <f>$B$59</f>
        <v>OMOP Primary Dx Condition</v>
      </c>
    </row>
    <row r="122" spans="2:12" x14ac:dyDescent="0.25">
      <c r="E122" s="2" t="s">
        <v>150</v>
      </c>
      <c r="F122" s="2" t="s">
        <v>132</v>
      </c>
      <c r="G122" s="5" t="s">
        <v>133</v>
      </c>
      <c r="H122" s="5" t="s">
        <v>133</v>
      </c>
      <c r="I122" s="3">
        <v>1147127</v>
      </c>
      <c r="J122" s="2" t="s">
        <v>152</v>
      </c>
      <c r="L122" s="2" t="s">
        <v>513</v>
      </c>
    </row>
    <row r="123" spans="2:12" x14ac:dyDescent="0.25">
      <c r="C123" s="2" t="s">
        <v>239</v>
      </c>
      <c r="E123" s="2" t="s">
        <v>176</v>
      </c>
      <c r="F123" s="2" t="s">
        <v>151</v>
      </c>
      <c r="G123" s="2" t="s">
        <v>34</v>
      </c>
      <c r="H123" s="6" t="s">
        <v>41</v>
      </c>
    </row>
    <row r="124" spans="2:12" x14ac:dyDescent="0.25">
      <c r="C124" s="2" t="s">
        <v>240</v>
      </c>
      <c r="E124" s="2" t="s">
        <v>178</v>
      </c>
      <c r="F124" s="2" t="s">
        <v>154</v>
      </c>
      <c r="G124" s="2" t="s">
        <v>34</v>
      </c>
      <c r="H124" s="6" t="s">
        <v>41</v>
      </c>
    </row>
    <row r="125" spans="2:12" ht="27" x14ac:dyDescent="0.25">
      <c r="B125" s="3" t="s">
        <v>443</v>
      </c>
      <c r="D125" s="2" t="s">
        <v>140</v>
      </c>
      <c r="E125" s="2" t="s">
        <v>213</v>
      </c>
      <c r="F125" s="2" t="s">
        <v>153</v>
      </c>
      <c r="G125" s="2" t="s">
        <v>34</v>
      </c>
      <c r="H125" s="5" t="s">
        <v>20</v>
      </c>
      <c r="K125" s="2" t="s">
        <v>562</v>
      </c>
    </row>
    <row r="126" spans="2:12" x14ac:dyDescent="0.25">
      <c r="E126" s="2" t="s">
        <v>214</v>
      </c>
      <c r="F126" s="2" t="s">
        <v>132</v>
      </c>
      <c r="G126" s="5" t="s">
        <v>133</v>
      </c>
      <c r="H126" s="5" t="s">
        <v>133</v>
      </c>
      <c r="I126" s="3" t="s">
        <v>524</v>
      </c>
      <c r="J126" s="2" t="s">
        <v>174</v>
      </c>
      <c r="L126" s="2" t="s">
        <v>525</v>
      </c>
    </row>
    <row r="127" spans="2:12" x14ac:dyDescent="0.25">
      <c r="E127" s="2" t="s">
        <v>142</v>
      </c>
      <c r="F127" s="2" t="s">
        <v>154</v>
      </c>
      <c r="G127" s="5" t="s">
        <v>133</v>
      </c>
      <c r="H127" s="5" t="s">
        <v>133</v>
      </c>
      <c r="I127" s="2" t="s">
        <v>546</v>
      </c>
    </row>
    <row r="128" spans="2:12" x14ac:dyDescent="0.25">
      <c r="E128" s="2" t="s">
        <v>149</v>
      </c>
      <c r="F128" s="2" t="s">
        <v>148</v>
      </c>
      <c r="G128" s="2" t="s">
        <v>34</v>
      </c>
      <c r="H128" s="5" t="s">
        <v>20</v>
      </c>
      <c r="I128" s="5" t="str">
        <f>$B$59</f>
        <v>OMOP Primary Dx Condition</v>
      </c>
      <c r="K128" s="2" t="s">
        <v>562</v>
      </c>
    </row>
    <row r="129" spans="2:12" x14ac:dyDescent="0.25">
      <c r="E129" s="2" t="s">
        <v>150</v>
      </c>
      <c r="F129" s="2" t="s">
        <v>132</v>
      </c>
      <c r="G129" s="5" t="s">
        <v>133</v>
      </c>
      <c r="H129" s="5" t="s">
        <v>133</v>
      </c>
      <c r="I129" s="3">
        <v>1147127</v>
      </c>
      <c r="J129" s="2" t="s">
        <v>152</v>
      </c>
      <c r="L129" s="2" t="s">
        <v>513</v>
      </c>
    </row>
    <row r="130" spans="2:12" x14ac:dyDescent="0.25">
      <c r="C130" s="2" t="s">
        <v>243</v>
      </c>
      <c r="E130" s="2" t="s">
        <v>176</v>
      </c>
      <c r="F130" s="2" t="s">
        <v>151</v>
      </c>
      <c r="G130" s="2" t="s">
        <v>34</v>
      </c>
      <c r="H130" s="6" t="s">
        <v>47</v>
      </c>
      <c r="K130" s="2" t="s">
        <v>562</v>
      </c>
    </row>
    <row r="131" spans="2:12" x14ac:dyDescent="0.25">
      <c r="C131" s="2" t="s">
        <v>244</v>
      </c>
      <c r="E131" s="2" t="s">
        <v>178</v>
      </c>
      <c r="F131" s="2" t="s">
        <v>154</v>
      </c>
      <c r="G131" s="2" t="s">
        <v>34</v>
      </c>
      <c r="H131" s="6" t="s">
        <v>47</v>
      </c>
    </row>
    <row r="132" spans="2:12" ht="27" x14ac:dyDescent="0.25">
      <c r="B132" s="3" t="s">
        <v>444</v>
      </c>
      <c r="D132" s="2" t="s">
        <v>140</v>
      </c>
      <c r="E132" s="2" t="s">
        <v>213</v>
      </c>
      <c r="F132" s="2" t="s">
        <v>153</v>
      </c>
      <c r="G132" s="2" t="s">
        <v>34</v>
      </c>
      <c r="H132" s="5" t="s">
        <v>20</v>
      </c>
      <c r="K132" s="2" t="s">
        <v>562</v>
      </c>
    </row>
    <row r="133" spans="2:12" x14ac:dyDescent="0.25">
      <c r="E133" s="2" t="s">
        <v>214</v>
      </c>
      <c r="F133" s="2" t="s">
        <v>132</v>
      </c>
      <c r="G133" s="5" t="s">
        <v>133</v>
      </c>
      <c r="H133" s="5" t="s">
        <v>133</v>
      </c>
      <c r="I133" s="3" t="s">
        <v>526</v>
      </c>
      <c r="J133" s="2" t="s">
        <v>174</v>
      </c>
      <c r="L133" s="2" t="s">
        <v>527</v>
      </c>
    </row>
    <row r="134" spans="2:12" x14ac:dyDescent="0.25">
      <c r="E134" s="2" t="s">
        <v>142</v>
      </c>
      <c r="F134" s="2" t="s">
        <v>154</v>
      </c>
      <c r="G134" s="5" t="s">
        <v>133</v>
      </c>
      <c r="H134" s="5" t="s">
        <v>133</v>
      </c>
      <c r="I134" s="2" t="s">
        <v>546</v>
      </c>
    </row>
    <row r="135" spans="2:12" x14ac:dyDescent="0.25">
      <c r="E135" s="2" t="s">
        <v>149</v>
      </c>
      <c r="F135" s="2" t="s">
        <v>148</v>
      </c>
      <c r="G135" s="2" t="s">
        <v>34</v>
      </c>
      <c r="H135" s="5" t="s">
        <v>20</v>
      </c>
      <c r="I135" s="5" t="str">
        <f>$B$59</f>
        <v>OMOP Primary Dx Condition</v>
      </c>
      <c r="K135" s="2" t="s">
        <v>562</v>
      </c>
    </row>
    <row r="136" spans="2:12" x14ac:dyDescent="0.25">
      <c r="E136" s="2" t="s">
        <v>150</v>
      </c>
      <c r="F136" s="2" t="s">
        <v>132</v>
      </c>
      <c r="G136" s="5" t="s">
        <v>133</v>
      </c>
      <c r="H136" s="5" t="s">
        <v>133</v>
      </c>
      <c r="I136" s="3">
        <v>1147127</v>
      </c>
      <c r="J136" s="2" t="s">
        <v>152</v>
      </c>
      <c r="L136" s="2" t="s">
        <v>513</v>
      </c>
    </row>
    <row r="137" spans="2:12" x14ac:dyDescent="0.25">
      <c r="C137" s="2" t="s">
        <v>245</v>
      </c>
      <c r="E137" s="2" t="s">
        <v>176</v>
      </c>
      <c r="F137" s="2" t="s">
        <v>151</v>
      </c>
      <c r="G137" s="2" t="s">
        <v>34</v>
      </c>
      <c r="H137" s="6" t="s">
        <v>48</v>
      </c>
      <c r="K137" s="2" t="s">
        <v>562</v>
      </c>
    </row>
    <row r="138" spans="2:12" x14ac:dyDescent="0.25">
      <c r="C138" s="2" t="s">
        <v>246</v>
      </c>
      <c r="E138" s="2" t="s">
        <v>178</v>
      </c>
      <c r="F138" s="2" t="s">
        <v>154</v>
      </c>
      <c r="G138" s="2" t="s">
        <v>34</v>
      </c>
      <c r="H138" s="6" t="s">
        <v>48</v>
      </c>
    </row>
    <row r="139" spans="2:12" ht="27" x14ac:dyDescent="0.25">
      <c r="B139" s="3" t="s">
        <v>445</v>
      </c>
      <c r="D139" s="2" t="s">
        <v>140</v>
      </c>
      <c r="E139" s="2" t="s">
        <v>213</v>
      </c>
      <c r="F139" s="2" t="s">
        <v>153</v>
      </c>
      <c r="G139" s="2" t="s">
        <v>34</v>
      </c>
      <c r="H139" s="5" t="s">
        <v>20</v>
      </c>
      <c r="K139" s="2" t="s">
        <v>562</v>
      </c>
    </row>
    <row r="140" spans="2:12" x14ac:dyDescent="0.25">
      <c r="E140" s="2" t="s">
        <v>214</v>
      </c>
      <c r="F140" s="2" t="s">
        <v>132</v>
      </c>
      <c r="G140" s="5" t="s">
        <v>133</v>
      </c>
      <c r="H140" s="5" t="s">
        <v>133</v>
      </c>
      <c r="I140" s="3" t="s">
        <v>528</v>
      </c>
      <c r="J140" s="2" t="s">
        <v>174</v>
      </c>
      <c r="L140" s="2" t="s">
        <v>529</v>
      </c>
    </row>
    <row r="141" spans="2:12" x14ac:dyDescent="0.25">
      <c r="E141" s="2" t="s">
        <v>142</v>
      </c>
      <c r="F141" s="2" t="s">
        <v>154</v>
      </c>
      <c r="G141" s="5" t="s">
        <v>133</v>
      </c>
      <c r="H141" s="5" t="s">
        <v>133</v>
      </c>
      <c r="I141" s="2" t="s">
        <v>546</v>
      </c>
    </row>
    <row r="142" spans="2:12" x14ac:dyDescent="0.25">
      <c r="E142" s="2" t="s">
        <v>149</v>
      </c>
      <c r="F142" s="2" t="s">
        <v>148</v>
      </c>
      <c r="G142" s="2" t="s">
        <v>34</v>
      </c>
      <c r="H142" s="5" t="s">
        <v>20</v>
      </c>
      <c r="I142" s="5" t="str">
        <f>$B$59</f>
        <v>OMOP Primary Dx Condition</v>
      </c>
      <c r="K142" s="2" t="s">
        <v>562</v>
      </c>
    </row>
    <row r="143" spans="2:12" x14ac:dyDescent="0.25">
      <c r="E143" s="2" t="s">
        <v>150</v>
      </c>
      <c r="F143" s="2" t="s">
        <v>132</v>
      </c>
      <c r="G143" s="5" t="s">
        <v>133</v>
      </c>
      <c r="H143" s="5" t="s">
        <v>133</v>
      </c>
      <c r="I143" s="3">
        <v>1147127</v>
      </c>
      <c r="J143" s="2" t="s">
        <v>152</v>
      </c>
      <c r="L143" s="2" t="s">
        <v>513</v>
      </c>
    </row>
    <row r="144" spans="2:12" x14ac:dyDescent="0.25">
      <c r="C144" s="2" t="s">
        <v>247</v>
      </c>
      <c r="E144" s="2" t="s">
        <v>176</v>
      </c>
      <c r="F144" s="2" t="s">
        <v>151</v>
      </c>
      <c r="G144" s="2" t="s">
        <v>34</v>
      </c>
      <c r="H144" s="6" t="s">
        <v>49</v>
      </c>
      <c r="K144" s="2" t="s">
        <v>562</v>
      </c>
    </row>
    <row r="145" spans="1:12" x14ac:dyDescent="0.25">
      <c r="C145" s="2" t="s">
        <v>248</v>
      </c>
      <c r="E145" s="2" t="s">
        <v>178</v>
      </c>
      <c r="F145" s="2" t="s">
        <v>154</v>
      </c>
      <c r="G145" s="2" t="s">
        <v>34</v>
      </c>
      <c r="H145" s="6" t="s">
        <v>49</v>
      </c>
    </row>
    <row r="146" spans="1:12" ht="27" x14ac:dyDescent="0.25">
      <c r="B146" s="3" t="s">
        <v>446</v>
      </c>
      <c r="D146" s="2" t="s">
        <v>140</v>
      </c>
      <c r="E146" s="2" t="s">
        <v>213</v>
      </c>
      <c r="F146" s="2" t="s">
        <v>153</v>
      </c>
      <c r="G146" s="2" t="s">
        <v>34</v>
      </c>
      <c r="H146" s="5" t="s">
        <v>20</v>
      </c>
      <c r="K146" s="2" t="s">
        <v>562</v>
      </c>
    </row>
    <row r="147" spans="1:12" x14ac:dyDescent="0.25">
      <c r="C147" s="2" t="s">
        <v>241</v>
      </c>
      <c r="E147" s="2" t="s">
        <v>214</v>
      </c>
      <c r="F147" s="2" t="s">
        <v>151</v>
      </c>
      <c r="G147" s="2" t="s">
        <v>34</v>
      </c>
      <c r="H147" s="6" t="s">
        <v>42</v>
      </c>
      <c r="K147" s="2" t="s">
        <v>584</v>
      </c>
    </row>
    <row r="148" spans="1:12" x14ac:dyDescent="0.25">
      <c r="C148" s="2" t="s">
        <v>242</v>
      </c>
      <c r="E148" s="2" t="s">
        <v>232</v>
      </c>
      <c r="F148" s="2" t="s">
        <v>154</v>
      </c>
      <c r="G148" s="2" t="s">
        <v>34</v>
      </c>
      <c r="H148" s="6" t="s">
        <v>42</v>
      </c>
    </row>
    <row r="149" spans="1:12" x14ac:dyDescent="0.25">
      <c r="E149" s="2" t="s">
        <v>142</v>
      </c>
      <c r="F149" s="2" t="s">
        <v>154</v>
      </c>
      <c r="G149" s="5" t="s">
        <v>133</v>
      </c>
      <c r="H149" s="5" t="s">
        <v>133</v>
      </c>
      <c r="I149" s="2" t="s">
        <v>546</v>
      </c>
    </row>
    <row r="150" spans="1:12" x14ac:dyDescent="0.25">
      <c r="E150" s="2" t="s">
        <v>149</v>
      </c>
      <c r="F150" s="2" t="s">
        <v>148</v>
      </c>
      <c r="G150" s="2" t="s">
        <v>34</v>
      </c>
      <c r="H150" s="5" t="s">
        <v>20</v>
      </c>
      <c r="I150" s="5" t="str">
        <f>$B$59</f>
        <v>OMOP Primary Dx Condition</v>
      </c>
      <c r="K150" s="2" t="s">
        <v>562</v>
      </c>
    </row>
    <row r="151" spans="1:12" x14ac:dyDescent="0.25">
      <c r="E151" s="2" t="s">
        <v>150</v>
      </c>
      <c r="F151" s="2" t="s">
        <v>132</v>
      </c>
      <c r="G151" s="2" t="s">
        <v>133</v>
      </c>
      <c r="H151" s="5" t="s">
        <v>133</v>
      </c>
      <c r="I151" s="3">
        <v>1147127</v>
      </c>
      <c r="J151" s="2" t="s">
        <v>152</v>
      </c>
      <c r="L151" s="2" t="s">
        <v>513</v>
      </c>
    </row>
    <row r="152" spans="1:12" x14ac:dyDescent="0.25">
      <c r="C152" s="2" t="s">
        <v>249</v>
      </c>
      <c r="E152" s="2" t="s">
        <v>176</v>
      </c>
      <c r="F152" s="2" t="s">
        <v>151</v>
      </c>
      <c r="G152" s="2" t="s">
        <v>34</v>
      </c>
      <c r="H152" s="6" t="s">
        <v>43</v>
      </c>
    </row>
    <row r="153" spans="1:12" x14ac:dyDescent="0.25">
      <c r="C153" s="2" t="s">
        <v>509</v>
      </c>
      <c r="E153" s="2" t="s">
        <v>178</v>
      </c>
      <c r="F153" s="2" t="s">
        <v>154</v>
      </c>
      <c r="G153" s="2" t="s">
        <v>34</v>
      </c>
      <c r="H153" s="6" t="s">
        <v>43</v>
      </c>
    </row>
    <row r="154" spans="1:12" ht="27" x14ac:dyDescent="0.25">
      <c r="A154" s="5" t="s">
        <v>536</v>
      </c>
      <c r="B154" s="3" t="s">
        <v>447</v>
      </c>
      <c r="D154" s="2" t="s">
        <v>543</v>
      </c>
      <c r="E154" s="2" t="s">
        <v>133</v>
      </c>
      <c r="F154" s="2" t="s">
        <v>555</v>
      </c>
      <c r="G154" s="2" t="s">
        <v>50</v>
      </c>
      <c r="H154" s="3" t="s">
        <v>21</v>
      </c>
      <c r="K154" s="2" t="s">
        <v>562</v>
      </c>
    </row>
    <row r="155" spans="1:12" x14ac:dyDescent="0.25">
      <c r="D155" s="2" t="s">
        <v>543</v>
      </c>
      <c r="E155" s="2" t="s">
        <v>133</v>
      </c>
      <c r="F155" s="2" t="s">
        <v>555</v>
      </c>
      <c r="G155" s="2" t="s">
        <v>50</v>
      </c>
      <c r="H155" s="6" t="s">
        <v>52</v>
      </c>
      <c r="K155" s="2" t="s">
        <v>583</v>
      </c>
    </row>
    <row r="156" spans="1:12" x14ac:dyDescent="0.25">
      <c r="D156" s="2" t="s">
        <v>543</v>
      </c>
      <c r="E156" s="2" t="s">
        <v>133</v>
      </c>
      <c r="F156" s="2" t="s">
        <v>555</v>
      </c>
      <c r="G156" s="2" t="s">
        <v>50</v>
      </c>
      <c r="H156" s="6" t="s">
        <v>56</v>
      </c>
    </row>
    <row r="157" spans="1:12" x14ac:dyDescent="0.25">
      <c r="A157" s="2"/>
      <c r="B157" s="2"/>
      <c r="D157" s="2" t="s">
        <v>136</v>
      </c>
      <c r="E157" s="2" t="s">
        <v>200</v>
      </c>
      <c r="F157" s="2" t="s">
        <v>153</v>
      </c>
      <c r="G157" s="2" t="s">
        <v>50</v>
      </c>
      <c r="H157" s="3" t="s">
        <v>21</v>
      </c>
      <c r="K157" s="2" t="s">
        <v>562</v>
      </c>
    </row>
    <row r="158" spans="1:12" x14ac:dyDescent="0.25">
      <c r="E158" s="2" t="s">
        <v>201</v>
      </c>
      <c r="F158" s="2" t="s">
        <v>132</v>
      </c>
      <c r="G158" s="2" t="s">
        <v>133</v>
      </c>
      <c r="H158" s="5" t="s">
        <v>133</v>
      </c>
      <c r="I158" s="3" t="s">
        <v>250</v>
      </c>
      <c r="J158" s="2" t="s">
        <v>203</v>
      </c>
      <c r="L158" s="2" t="s">
        <v>251</v>
      </c>
    </row>
    <row r="159" spans="1:12" x14ac:dyDescent="0.25">
      <c r="E159" s="2" t="s">
        <v>205</v>
      </c>
      <c r="F159" s="2" t="s">
        <v>132</v>
      </c>
      <c r="G159" s="2" t="s">
        <v>133</v>
      </c>
      <c r="H159" s="5" t="s">
        <v>133</v>
      </c>
      <c r="I159" s="3">
        <v>0</v>
      </c>
    </row>
    <row r="160" spans="1:12" x14ac:dyDescent="0.25">
      <c r="E160" s="2" t="s">
        <v>206</v>
      </c>
      <c r="F160" s="2" t="s">
        <v>132</v>
      </c>
      <c r="G160" s="2" t="s">
        <v>133</v>
      </c>
      <c r="H160" s="5" t="s">
        <v>133</v>
      </c>
      <c r="I160" s="3">
        <v>0</v>
      </c>
    </row>
    <row r="161" spans="2:12" x14ac:dyDescent="0.25">
      <c r="C161" s="2" t="s">
        <v>252</v>
      </c>
      <c r="E161" s="2" t="s">
        <v>208</v>
      </c>
      <c r="F161" s="2" t="s">
        <v>183</v>
      </c>
      <c r="G161" s="2" t="s">
        <v>50</v>
      </c>
      <c r="H161" s="6" t="s">
        <v>52</v>
      </c>
      <c r="K161" s="2" t="s">
        <v>583</v>
      </c>
    </row>
    <row r="162" spans="2:12" x14ac:dyDescent="0.25">
      <c r="C162" s="2" t="s">
        <v>253</v>
      </c>
      <c r="E162" s="2" t="s">
        <v>209</v>
      </c>
      <c r="F162" s="2" t="s">
        <v>183</v>
      </c>
      <c r="G162" s="2" t="s">
        <v>50</v>
      </c>
      <c r="H162" s="6" t="s">
        <v>53</v>
      </c>
    </row>
    <row r="163" spans="2:12" x14ac:dyDescent="0.25">
      <c r="C163" s="2" t="s">
        <v>254</v>
      </c>
      <c r="E163" s="2" t="s">
        <v>207</v>
      </c>
      <c r="F163" s="2" t="s">
        <v>151</v>
      </c>
      <c r="G163" s="2" t="s">
        <v>50</v>
      </c>
      <c r="H163" s="6" t="s">
        <v>51</v>
      </c>
    </row>
    <row r="164" spans="2:12" ht="27" x14ac:dyDescent="0.25">
      <c r="B164" s="3" t="s">
        <v>448</v>
      </c>
      <c r="D164" s="2" t="s">
        <v>130</v>
      </c>
      <c r="E164" s="2" t="s">
        <v>172</v>
      </c>
      <c r="F164" s="2" t="s">
        <v>153</v>
      </c>
      <c r="G164" s="2" t="s">
        <v>50</v>
      </c>
      <c r="H164" s="3" t="s">
        <v>21</v>
      </c>
      <c r="K164" s="2" t="s">
        <v>562</v>
      </c>
    </row>
    <row r="165" spans="2:12" x14ac:dyDescent="0.25">
      <c r="E165" s="2" t="s">
        <v>173</v>
      </c>
      <c r="F165" s="2" t="s">
        <v>132</v>
      </c>
      <c r="G165" s="2" t="s">
        <v>133</v>
      </c>
      <c r="H165" s="5" t="s">
        <v>133</v>
      </c>
      <c r="I165" s="3" t="s">
        <v>602</v>
      </c>
      <c r="J165" s="2" t="s">
        <v>174</v>
      </c>
      <c r="L165" s="2" t="s">
        <v>607</v>
      </c>
    </row>
    <row r="166" spans="2:12" x14ac:dyDescent="0.25">
      <c r="E166" s="2" t="s">
        <v>135</v>
      </c>
      <c r="F166" s="2" t="s">
        <v>183</v>
      </c>
      <c r="G166" s="2" t="s">
        <v>50</v>
      </c>
      <c r="H166" s="8" t="s">
        <v>52</v>
      </c>
      <c r="K166" s="2" t="s">
        <v>583</v>
      </c>
    </row>
    <row r="167" spans="2:12" x14ac:dyDescent="0.25">
      <c r="E167" s="2" t="s">
        <v>228</v>
      </c>
      <c r="F167" s="2" t="s">
        <v>148</v>
      </c>
      <c r="G167" s="2" t="s">
        <v>50</v>
      </c>
      <c r="H167" s="3" t="s">
        <v>21</v>
      </c>
      <c r="I167" s="5" t="str">
        <f>$B$154</f>
        <v>OMOP Treatment Episode</v>
      </c>
      <c r="K167" s="2" t="s">
        <v>562</v>
      </c>
    </row>
    <row r="168" spans="2:12" x14ac:dyDescent="0.25">
      <c r="E168" s="2" t="s">
        <v>229</v>
      </c>
      <c r="F168" s="2" t="s">
        <v>132</v>
      </c>
      <c r="G168" s="2" t="s">
        <v>133</v>
      </c>
      <c r="H168" s="5" t="s">
        <v>133</v>
      </c>
      <c r="I168" s="3" t="s">
        <v>268</v>
      </c>
      <c r="J168" s="2" t="s">
        <v>152</v>
      </c>
      <c r="L168" s="2" t="s">
        <v>269</v>
      </c>
    </row>
    <row r="169" spans="2:12" x14ac:dyDescent="0.25">
      <c r="C169" s="2" t="s">
        <v>266</v>
      </c>
      <c r="E169" s="2" t="s">
        <v>176</v>
      </c>
      <c r="F169" s="2" t="s">
        <v>151</v>
      </c>
      <c r="G169" s="2" t="s">
        <v>50</v>
      </c>
      <c r="H169" s="6" t="s">
        <v>54</v>
      </c>
      <c r="K169" s="2" t="s">
        <v>562</v>
      </c>
    </row>
    <row r="170" spans="2:12" x14ac:dyDescent="0.25">
      <c r="C170" s="2" t="s">
        <v>267</v>
      </c>
      <c r="E170" s="2" t="s">
        <v>178</v>
      </c>
      <c r="F170" s="2" t="s">
        <v>154</v>
      </c>
      <c r="G170" s="2" t="s">
        <v>50</v>
      </c>
      <c r="H170" s="6" t="s">
        <v>54</v>
      </c>
    </row>
    <row r="171" spans="2:12" ht="27" x14ac:dyDescent="0.25">
      <c r="B171" s="3" t="s">
        <v>449</v>
      </c>
      <c r="D171" s="2" t="s">
        <v>130</v>
      </c>
      <c r="E171" s="2" t="s">
        <v>172</v>
      </c>
      <c r="F171" s="2" t="s">
        <v>153</v>
      </c>
      <c r="G171" s="2" t="s">
        <v>50</v>
      </c>
      <c r="H171" s="3" t="s">
        <v>21</v>
      </c>
      <c r="K171" s="2" t="s">
        <v>562</v>
      </c>
    </row>
    <row r="172" spans="2:12" x14ac:dyDescent="0.25">
      <c r="E172" s="2" t="s">
        <v>173</v>
      </c>
      <c r="F172" s="2" t="s">
        <v>132</v>
      </c>
      <c r="G172" s="2" t="s">
        <v>133</v>
      </c>
      <c r="H172" s="5" t="s">
        <v>133</v>
      </c>
      <c r="I172" s="3" t="s">
        <v>270</v>
      </c>
      <c r="J172" s="2" t="s">
        <v>174</v>
      </c>
      <c r="L172" s="2" t="s">
        <v>271</v>
      </c>
    </row>
    <row r="173" spans="2:12" x14ac:dyDescent="0.25">
      <c r="C173" s="2" t="s">
        <v>272</v>
      </c>
      <c r="E173" s="2" t="s">
        <v>176</v>
      </c>
      <c r="F173" s="2" t="s">
        <v>151</v>
      </c>
      <c r="G173" s="2" t="s">
        <v>50</v>
      </c>
      <c r="H173" s="6" t="s">
        <v>530</v>
      </c>
      <c r="K173" s="2" t="s">
        <v>584</v>
      </c>
    </row>
    <row r="174" spans="2:12" x14ac:dyDescent="0.25">
      <c r="C174" s="2" t="s">
        <v>273</v>
      </c>
      <c r="E174" s="2" t="s">
        <v>178</v>
      </c>
      <c r="F174" s="2" t="s">
        <v>154</v>
      </c>
      <c r="G174" s="2" t="s">
        <v>50</v>
      </c>
      <c r="H174" s="6" t="s">
        <v>530</v>
      </c>
    </row>
    <row r="175" spans="2:12" x14ac:dyDescent="0.25">
      <c r="E175" s="2" t="s">
        <v>135</v>
      </c>
      <c r="F175" s="2" t="s">
        <v>183</v>
      </c>
      <c r="G175" s="2" t="s">
        <v>50</v>
      </c>
      <c r="H175" s="8" t="s">
        <v>52</v>
      </c>
      <c r="K175" s="2" t="s">
        <v>583</v>
      </c>
    </row>
    <row r="176" spans="2:12" x14ac:dyDescent="0.25">
      <c r="E176" s="2" t="s">
        <v>228</v>
      </c>
      <c r="F176" s="2" t="s">
        <v>148</v>
      </c>
      <c r="G176" s="2" t="s">
        <v>50</v>
      </c>
      <c r="H176" s="3" t="s">
        <v>21</v>
      </c>
      <c r="I176" s="5" t="str">
        <f>$B$154</f>
        <v>OMOP Treatment Episode</v>
      </c>
      <c r="K176" s="2" t="s">
        <v>562</v>
      </c>
    </row>
    <row r="177" spans="1:12" x14ac:dyDescent="0.25">
      <c r="E177" s="2" t="s">
        <v>229</v>
      </c>
      <c r="F177" s="2" t="s">
        <v>132</v>
      </c>
      <c r="G177" s="2" t="s">
        <v>133</v>
      </c>
      <c r="H177" s="5" t="s">
        <v>133</v>
      </c>
      <c r="I177" s="3" t="s">
        <v>268</v>
      </c>
      <c r="J177" s="2" t="s">
        <v>152</v>
      </c>
      <c r="L177" s="2" t="s">
        <v>269</v>
      </c>
    </row>
    <row r="178" spans="1:12" x14ac:dyDescent="0.25">
      <c r="C178" s="2" t="s">
        <v>274</v>
      </c>
      <c r="E178" s="2" t="s">
        <v>275</v>
      </c>
      <c r="F178" s="2" t="s">
        <v>151</v>
      </c>
      <c r="G178" s="2" t="s">
        <v>50</v>
      </c>
      <c r="H178" s="6" t="s">
        <v>55</v>
      </c>
    </row>
    <row r="179" spans="1:12" x14ac:dyDescent="0.25">
      <c r="C179" s="2" t="s">
        <v>276</v>
      </c>
      <c r="E179" s="2" t="s">
        <v>277</v>
      </c>
      <c r="F179" s="2" t="s">
        <v>154</v>
      </c>
      <c r="G179" s="2" t="s">
        <v>50</v>
      </c>
      <c r="H179" s="6" t="s">
        <v>55</v>
      </c>
    </row>
    <row r="180" spans="1:12" ht="27" x14ac:dyDescent="0.25">
      <c r="A180" s="5" t="s">
        <v>608</v>
      </c>
      <c r="B180" s="3" t="s">
        <v>609</v>
      </c>
      <c r="D180" s="2" t="s">
        <v>143</v>
      </c>
      <c r="E180" s="2" t="s">
        <v>255</v>
      </c>
      <c r="F180" s="2" t="s">
        <v>590</v>
      </c>
      <c r="G180" s="2" t="s">
        <v>50</v>
      </c>
      <c r="H180" s="3" t="s">
        <v>21</v>
      </c>
      <c r="K180" s="2" t="s">
        <v>562</v>
      </c>
    </row>
    <row r="181" spans="1:12" x14ac:dyDescent="0.25">
      <c r="E181" s="2" t="s">
        <v>256</v>
      </c>
      <c r="F181" s="2" t="s">
        <v>619</v>
      </c>
      <c r="G181" s="2" t="s">
        <v>50</v>
      </c>
      <c r="H181" s="6" t="s">
        <v>620</v>
      </c>
    </row>
    <row r="182" spans="1:12" x14ac:dyDescent="0.25">
      <c r="C182" s="2" t="s">
        <v>257</v>
      </c>
      <c r="E182" s="2" t="s">
        <v>258</v>
      </c>
      <c r="F182" s="2" t="s">
        <v>612</v>
      </c>
      <c r="G182" s="2" t="s">
        <v>133</v>
      </c>
      <c r="H182" s="6" t="s">
        <v>133</v>
      </c>
    </row>
    <row r="183" spans="1:12" x14ac:dyDescent="0.25">
      <c r="E183" s="2" t="s">
        <v>259</v>
      </c>
      <c r="F183" s="2" t="s">
        <v>183</v>
      </c>
      <c r="G183" s="2" t="s">
        <v>133</v>
      </c>
      <c r="H183" s="8" t="s">
        <v>133</v>
      </c>
      <c r="I183" s="3" t="s">
        <v>554</v>
      </c>
      <c r="K183" s="2" t="s">
        <v>583</v>
      </c>
    </row>
    <row r="184" spans="1:12" x14ac:dyDescent="0.25">
      <c r="C184" s="2" t="s">
        <v>260</v>
      </c>
      <c r="E184" s="2" t="s">
        <v>261</v>
      </c>
      <c r="F184" s="2" t="s">
        <v>151</v>
      </c>
      <c r="G184" s="2" t="s">
        <v>50</v>
      </c>
      <c r="H184" s="8" t="s">
        <v>56</v>
      </c>
      <c r="I184" s="3" t="s">
        <v>611</v>
      </c>
    </row>
    <row r="185" spans="1:12" x14ac:dyDescent="0.25">
      <c r="C185" s="2" t="s">
        <v>262</v>
      </c>
      <c r="E185" s="2" t="s">
        <v>263</v>
      </c>
      <c r="F185" s="2" t="s">
        <v>154</v>
      </c>
      <c r="G185" s="2" t="s">
        <v>133</v>
      </c>
      <c r="H185" s="8" t="s">
        <v>133</v>
      </c>
      <c r="I185" s="3" t="s">
        <v>611</v>
      </c>
    </row>
    <row r="186" spans="1:12" ht="27" x14ac:dyDescent="0.25">
      <c r="B186" s="3" t="s">
        <v>610</v>
      </c>
      <c r="D186" s="2" t="s">
        <v>210</v>
      </c>
      <c r="E186" s="2" t="s">
        <v>200</v>
      </c>
      <c r="F186" s="2" t="s">
        <v>148</v>
      </c>
      <c r="G186" s="2" t="s">
        <v>50</v>
      </c>
      <c r="H186" s="3" t="s">
        <v>21</v>
      </c>
      <c r="I186" s="5" t="str">
        <f>$B$154</f>
        <v>OMOP Treatment Episode</v>
      </c>
      <c r="K186" s="2" t="s">
        <v>562</v>
      </c>
    </row>
    <row r="187" spans="1:12" x14ac:dyDescent="0.25">
      <c r="E187" s="2" t="s">
        <v>211</v>
      </c>
      <c r="F187" s="2" t="s">
        <v>591</v>
      </c>
      <c r="G187" s="2" t="s">
        <v>50</v>
      </c>
      <c r="H187" s="3" t="s">
        <v>21</v>
      </c>
      <c r="I187" s="5" t="str">
        <f>$B$180</f>
        <v>OMOP Treatment Episode Procedure Occurrence</v>
      </c>
      <c r="K187" s="2" t="s">
        <v>562</v>
      </c>
    </row>
    <row r="188" spans="1:12" x14ac:dyDescent="0.25">
      <c r="E188" s="2" t="s">
        <v>212</v>
      </c>
      <c r="F188" s="2" t="s">
        <v>132</v>
      </c>
      <c r="G188" s="2" t="s">
        <v>133</v>
      </c>
      <c r="H188" s="5" t="s">
        <v>133</v>
      </c>
      <c r="I188" s="3" t="s">
        <v>264</v>
      </c>
      <c r="J188" s="2" t="s">
        <v>152</v>
      </c>
      <c r="L188" s="2" t="s">
        <v>265</v>
      </c>
    </row>
    <row r="189" spans="1:12" ht="40.5" x14ac:dyDescent="0.25">
      <c r="A189" s="5" t="s">
        <v>537</v>
      </c>
      <c r="B189" s="3" t="s">
        <v>450</v>
      </c>
      <c r="D189" s="2" t="s">
        <v>136</v>
      </c>
      <c r="E189" s="2" t="s">
        <v>200</v>
      </c>
      <c r="F189" s="2" t="s">
        <v>590</v>
      </c>
      <c r="G189" s="2" t="s">
        <v>50</v>
      </c>
      <c r="H189" s="3" t="s">
        <v>21</v>
      </c>
      <c r="I189" s="2"/>
      <c r="K189" s="2" t="s">
        <v>562</v>
      </c>
    </row>
    <row r="190" spans="1:12" x14ac:dyDescent="0.25">
      <c r="E190" s="2" t="s">
        <v>201</v>
      </c>
      <c r="F190" s="2" t="s">
        <v>132</v>
      </c>
      <c r="G190" s="2" t="s">
        <v>133</v>
      </c>
      <c r="H190" s="5" t="s">
        <v>133</v>
      </c>
      <c r="I190" s="3" t="s">
        <v>278</v>
      </c>
      <c r="J190" s="2" t="s">
        <v>203</v>
      </c>
      <c r="L190" s="2" t="s">
        <v>279</v>
      </c>
    </row>
    <row r="191" spans="1:12" x14ac:dyDescent="0.25">
      <c r="E191" s="2" t="s">
        <v>205</v>
      </c>
      <c r="F191" s="2" t="s">
        <v>132</v>
      </c>
      <c r="G191" s="2" t="s">
        <v>133</v>
      </c>
      <c r="H191" s="5" t="s">
        <v>133</v>
      </c>
      <c r="I191" s="3">
        <v>0</v>
      </c>
    </row>
    <row r="192" spans="1:12" x14ac:dyDescent="0.25">
      <c r="E192" s="2" t="s">
        <v>206</v>
      </c>
      <c r="F192" s="2" t="s">
        <v>151</v>
      </c>
      <c r="G192" s="2" t="s">
        <v>57</v>
      </c>
      <c r="H192" s="6" t="s">
        <v>58</v>
      </c>
      <c r="I192" s="5"/>
      <c r="K192" s="2" t="s">
        <v>584</v>
      </c>
    </row>
    <row r="193" spans="2:12" x14ac:dyDescent="0.25">
      <c r="E193" s="2" t="s">
        <v>208</v>
      </c>
      <c r="F193" s="2" t="s">
        <v>183</v>
      </c>
      <c r="G193" s="2" t="s">
        <v>57</v>
      </c>
      <c r="H193" s="6" t="s">
        <v>59</v>
      </c>
      <c r="K193" s="2" t="s">
        <v>583</v>
      </c>
    </row>
    <row r="194" spans="2:12" x14ac:dyDescent="0.25">
      <c r="E194" s="2" t="s">
        <v>209</v>
      </c>
      <c r="F194" s="2" t="s">
        <v>183</v>
      </c>
      <c r="G194" s="2" t="s">
        <v>57</v>
      </c>
      <c r="H194" s="6" t="s">
        <v>60</v>
      </c>
    </row>
    <row r="195" spans="2:12" ht="40.5" x14ac:dyDescent="0.25">
      <c r="B195" s="3" t="s">
        <v>486</v>
      </c>
      <c r="D195" s="2" t="s">
        <v>210</v>
      </c>
      <c r="E195" s="2" t="s">
        <v>200</v>
      </c>
      <c r="F195" s="2" t="s">
        <v>148</v>
      </c>
      <c r="G195" s="2" t="s">
        <v>50</v>
      </c>
      <c r="H195" s="3" t="s">
        <v>21</v>
      </c>
      <c r="I195" s="5" t="str">
        <f>$B$154</f>
        <v>OMOP Treatment Episode</v>
      </c>
      <c r="K195" s="2" t="s">
        <v>562</v>
      </c>
    </row>
    <row r="196" spans="2:12" x14ac:dyDescent="0.25">
      <c r="E196" s="2" t="s">
        <v>211</v>
      </c>
      <c r="F196" s="2" t="s">
        <v>591</v>
      </c>
      <c r="G196" s="2" t="s">
        <v>50</v>
      </c>
      <c r="H196" s="3" t="s">
        <v>21</v>
      </c>
      <c r="I196" s="3" t="str">
        <f>$B$189</f>
        <v>OMOP Systemic Therapy Episode</v>
      </c>
      <c r="K196" s="2" t="s">
        <v>562</v>
      </c>
    </row>
    <row r="197" spans="2:12" x14ac:dyDescent="0.25">
      <c r="E197" s="2" t="s">
        <v>212</v>
      </c>
      <c r="F197" s="2" t="s">
        <v>132</v>
      </c>
      <c r="G197" s="2" t="s">
        <v>133</v>
      </c>
      <c r="H197" s="5" t="s">
        <v>133</v>
      </c>
      <c r="I197" s="3" t="s">
        <v>268</v>
      </c>
      <c r="J197" s="2" t="s">
        <v>152</v>
      </c>
      <c r="L197" s="2" t="s">
        <v>269</v>
      </c>
    </row>
    <row r="198" spans="2:12" ht="27" x14ac:dyDescent="0.25">
      <c r="B198" s="3" t="s">
        <v>451</v>
      </c>
      <c r="D198" s="2" t="s">
        <v>143</v>
      </c>
      <c r="E198" s="2" t="s">
        <v>255</v>
      </c>
      <c r="F198" s="2" t="s">
        <v>590</v>
      </c>
      <c r="G198" s="2" t="s">
        <v>50</v>
      </c>
      <c r="H198" s="5" t="s">
        <v>21</v>
      </c>
      <c r="I198" s="2"/>
      <c r="K198" s="2" t="s">
        <v>562</v>
      </c>
    </row>
    <row r="199" spans="2:12" x14ac:dyDescent="0.25">
      <c r="C199" s="2" t="s">
        <v>280</v>
      </c>
      <c r="E199" s="2" t="s">
        <v>256</v>
      </c>
      <c r="F199" s="2" t="s">
        <v>151</v>
      </c>
      <c r="G199" s="2" t="s">
        <v>57</v>
      </c>
      <c r="H199" s="6" t="s">
        <v>58</v>
      </c>
      <c r="K199" s="2" t="s">
        <v>584</v>
      </c>
    </row>
    <row r="200" spans="2:12" x14ac:dyDescent="0.25">
      <c r="C200" s="2" t="s">
        <v>281</v>
      </c>
      <c r="E200" s="2" t="s">
        <v>258</v>
      </c>
      <c r="F200" s="2" t="s">
        <v>154</v>
      </c>
      <c r="G200" s="2" t="s">
        <v>57</v>
      </c>
      <c r="H200" s="6" t="s">
        <v>58</v>
      </c>
    </row>
    <row r="201" spans="2:12" x14ac:dyDescent="0.25">
      <c r="E201" s="2" t="s">
        <v>259</v>
      </c>
      <c r="F201" s="2" t="s">
        <v>183</v>
      </c>
      <c r="G201" s="2" t="s">
        <v>57</v>
      </c>
      <c r="H201" s="8" t="s">
        <v>59</v>
      </c>
      <c r="K201" s="2" t="s">
        <v>583</v>
      </c>
    </row>
    <row r="202" spans="2:12" x14ac:dyDescent="0.25">
      <c r="C202" s="2" t="s">
        <v>282</v>
      </c>
      <c r="E202" s="2" t="s">
        <v>283</v>
      </c>
      <c r="F202" s="2" t="s">
        <v>154</v>
      </c>
      <c r="G202" s="2" t="s">
        <v>57</v>
      </c>
      <c r="H202" s="6" t="s">
        <v>65</v>
      </c>
    </row>
    <row r="203" spans="2:12" ht="27" x14ac:dyDescent="0.25">
      <c r="B203" s="3" t="s">
        <v>484</v>
      </c>
      <c r="D203" s="2" t="s">
        <v>210</v>
      </c>
      <c r="E203" s="2" t="s">
        <v>200</v>
      </c>
      <c r="F203" s="2" t="s">
        <v>591</v>
      </c>
      <c r="G203" s="2" t="s">
        <v>50</v>
      </c>
      <c r="H203" s="3" t="s">
        <v>21</v>
      </c>
      <c r="I203" s="5" t="str">
        <f>$B$189</f>
        <v>OMOP Systemic Therapy Episode</v>
      </c>
      <c r="K203" s="2" t="s">
        <v>562</v>
      </c>
    </row>
    <row r="204" spans="2:12" x14ac:dyDescent="0.25">
      <c r="E204" s="2" t="s">
        <v>211</v>
      </c>
      <c r="F204" s="2" t="s">
        <v>591</v>
      </c>
      <c r="G204" s="2" t="s">
        <v>50</v>
      </c>
      <c r="H204" s="3" t="s">
        <v>21</v>
      </c>
      <c r="I204" s="5" t="str">
        <f>$B$198</f>
        <v>OMOP Systemic Therapy Procedure</v>
      </c>
      <c r="K204" s="2" t="s">
        <v>562</v>
      </c>
    </row>
    <row r="205" spans="2:12" x14ac:dyDescent="0.25">
      <c r="E205" s="2" t="s">
        <v>212</v>
      </c>
      <c r="F205" s="2" t="s">
        <v>132</v>
      </c>
      <c r="G205" s="2" t="s">
        <v>133</v>
      </c>
      <c r="H205" s="5" t="s">
        <v>133</v>
      </c>
      <c r="I205" s="3" t="s">
        <v>264</v>
      </c>
      <c r="J205" s="2" t="s">
        <v>152</v>
      </c>
      <c r="L205" s="2" t="s">
        <v>265</v>
      </c>
    </row>
    <row r="206" spans="2:12" ht="27" x14ac:dyDescent="0.25">
      <c r="B206" s="3" t="s">
        <v>452</v>
      </c>
      <c r="D206" s="2" t="s">
        <v>543</v>
      </c>
      <c r="E206" s="2" t="s">
        <v>552</v>
      </c>
      <c r="F206" s="2" t="s">
        <v>154</v>
      </c>
      <c r="G206" s="2" t="s">
        <v>57</v>
      </c>
      <c r="H206" s="6" t="s">
        <v>61</v>
      </c>
      <c r="I206" s="10"/>
      <c r="K206" s="2" t="s">
        <v>564</v>
      </c>
    </row>
    <row r="207" spans="2:12" x14ac:dyDescent="0.25">
      <c r="B207" s="2"/>
      <c r="D207" s="2" t="s">
        <v>284</v>
      </c>
      <c r="E207" s="2" t="s">
        <v>285</v>
      </c>
      <c r="F207" s="2" t="s">
        <v>590</v>
      </c>
      <c r="G207" s="2" t="s">
        <v>50</v>
      </c>
      <c r="H207" s="3" t="s">
        <v>21</v>
      </c>
      <c r="K207" s="2" t="s">
        <v>562</v>
      </c>
    </row>
    <row r="208" spans="2:12" x14ac:dyDescent="0.25">
      <c r="E208" s="2" t="s">
        <v>286</v>
      </c>
      <c r="F208" s="2" t="s">
        <v>132</v>
      </c>
      <c r="G208" s="2" t="s">
        <v>133</v>
      </c>
      <c r="H208" s="5" t="s">
        <v>133</v>
      </c>
      <c r="I208" s="10" t="s">
        <v>287</v>
      </c>
      <c r="J208" s="2" t="s">
        <v>134</v>
      </c>
      <c r="L208" s="2" t="s">
        <v>288</v>
      </c>
    </row>
    <row r="209" spans="2:12" x14ac:dyDescent="0.25">
      <c r="E209" s="2" t="s">
        <v>289</v>
      </c>
      <c r="F209" s="2" t="s">
        <v>192</v>
      </c>
      <c r="G209" s="2" t="s">
        <v>57</v>
      </c>
      <c r="H209" s="6" t="s">
        <v>62</v>
      </c>
      <c r="J209" s="2" t="s">
        <v>552</v>
      </c>
      <c r="K209" s="2" t="s">
        <v>584</v>
      </c>
    </row>
    <row r="210" spans="2:12" ht="40.5" x14ac:dyDescent="0.25">
      <c r="C210" s="5" t="s">
        <v>291</v>
      </c>
      <c r="E210" s="2" t="s">
        <v>292</v>
      </c>
      <c r="F210" s="2" t="s">
        <v>550</v>
      </c>
      <c r="G210" s="2" t="s">
        <v>57</v>
      </c>
      <c r="H210" s="6" t="s">
        <v>290</v>
      </c>
    </row>
    <row r="211" spans="2:12" x14ac:dyDescent="0.25">
      <c r="C211" s="2" t="s">
        <v>293</v>
      </c>
      <c r="E211" s="2" t="s">
        <v>294</v>
      </c>
      <c r="F211" s="2" t="s">
        <v>183</v>
      </c>
      <c r="G211" s="2" t="s">
        <v>57</v>
      </c>
      <c r="H211" s="6" t="s">
        <v>59</v>
      </c>
      <c r="K211" s="2" t="s">
        <v>583</v>
      </c>
    </row>
    <row r="212" spans="2:12" x14ac:dyDescent="0.25">
      <c r="C212" s="2" t="s">
        <v>295</v>
      </c>
      <c r="E212" s="2" t="s">
        <v>296</v>
      </c>
      <c r="F212" s="2" t="s">
        <v>183</v>
      </c>
      <c r="G212" s="2" t="s">
        <v>57</v>
      </c>
      <c r="H212" s="6" t="s">
        <v>60</v>
      </c>
      <c r="K212" s="2" t="s">
        <v>583</v>
      </c>
    </row>
    <row r="213" spans="2:12" x14ac:dyDescent="0.25">
      <c r="C213" s="2" t="s">
        <v>297</v>
      </c>
      <c r="E213" s="2" t="s">
        <v>298</v>
      </c>
      <c r="F213" s="2" t="s">
        <v>154</v>
      </c>
      <c r="G213" s="2" t="s">
        <v>57</v>
      </c>
      <c r="H213" s="6" t="s">
        <v>63</v>
      </c>
    </row>
    <row r="214" spans="2:12" x14ac:dyDescent="0.25">
      <c r="C214" s="2" t="s">
        <v>299</v>
      </c>
      <c r="E214" s="2" t="s">
        <v>283</v>
      </c>
      <c r="F214" s="2" t="s">
        <v>154</v>
      </c>
      <c r="G214" s="2" t="s">
        <v>57</v>
      </c>
      <c r="H214" s="6" t="s">
        <v>67</v>
      </c>
    </row>
    <row r="215" spans="2:12" ht="40.5" x14ac:dyDescent="0.25">
      <c r="B215" s="3" t="s">
        <v>483</v>
      </c>
      <c r="D215" s="2" t="s">
        <v>210</v>
      </c>
      <c r="E215" s="2" t="s">
        <v>200</v>
      </c>
      <c r="F215" s="2" t="s">
        <v>591</v>
      </c>
      <c r="G215" s="2" t="s">
        <v>50</v>
      </c>
      <c r="H215" s="3" t="s">
        <v>21</v>
      </c>
      <c r="I215" s="5" t="str">
        <f>$B$189</f>
        <v>OMOP Systemic Therapy Episode</v>
      </c>
      <c r="K215" s="2" t="s">
        <v>562</v>
      </c>
    </row>
    <row r="216" spans="2:12" x14ac:dyDescent="0.25">
      <c r="E216" s="2" t="s">
        <v>211</v>
      </c>
      <c r="F216" s="2" t="s">
        <v>591</v>
      </c>
      <c r="G216" s="2" t="s">
        <v>50</v>
      </c>
      <c r="H216" s="3" t="s">
        <v>21</v>
      </c>
      <c r="I216" s="5" t="str">
        <f>$B$206</f>
        <v>OMOP Systemic Therapy Dose Given Drug Exposure</v>
      </c>
      <c r="K216" s="2" t="s">
        <v>562</v>
      </c>
    </row>
    <row r="217" spans="2:12" x14ac:dyDescent="0.25">
      <c r="E217" s="2" t="s">
        <v>212</v>
      </c>
      <c r="F217" s="2" t="s">
        <v>132</v>
      </c>
      <c r="G217" s="2" t="s">
        <v>133</v>
      </c>
      <c r="H217" s="5" t="s">
        <v>133</v>
      </c>
      <c r="I217" s="3" t="s">
        <v>300</v>
      </c>
      <c r="J217" s="2" t="s">
        <v>152</v>
      </c>
      <c r="L217" s="2" t="s">
        <v>301</v>
      </c>
    </row>
    <row r="218" spans="2:12" ht="27" x14ac:dyDescent="0.25">
      <c r="B218" s="3" t="s">
        <v>453</v>
      </c>
      <c r="D218" s="2" t="s">
        <v>284</v>
      </c>
      <c r="E218" s="2" t="s">
        <v>285</v>
      </c>
      <c r="F218" s="2" t="s">
        <v>590</v>
      </c>
      <c r="G218" s="2" t="s">
        <v>50</v>
      </c>
      <c r="H218" s="3" t="s">
        <v>21</v>
      </c>
      <c r="K218" s="2" t="s">
        <v>562</v>
      </c>
    </row>
    <row r="219" spans="2:12" x14ac:dyDescent="0.25">
      <c r="E219" s="2" t="s">
        <v>286</v>
      </c>
      <c r="F219" s="2" t="s">
        <v>132</v>
      </c>
      <c r="G219" s="2" t="s">
        <v>133</v>
      </c>
      <c r="H219" s="5" t="s">
        <v>133</v>
      </c>
      <c r="I219" s="10" t="s">
        <v>302</v>
      </c>
      <c r="J219" s="2" t="s">
        <v>134</v>
      </c>
      <c r="L219" s="2" t="s">
        <v>303</v>
      </c>
    </row>
    <row r="220" spans="2:12" x14ac:dyDescent="0.25">
      <c r="E220" s="2" t="s">
        <v>289</v>
      </c>
      <c r="F220" s="2" t="s">
        <v>192</v>
      </c>
      <c r="G220" s="2" t="s">
        <v>57</v>
      </c>
      <c r="H220" s="6" t="s">
        <v>62</v>
      </c>
      <c r="J220" s="2" t="s">
        <v>552</v>
      </c>
      <c r="K220" s="2" t="s">
        <v>584</v>
      </c>
    </row>
    <row r="221" spans="2:12" ht="40.5" x14ac:dyDescent="0.25">
      <c r="C221" s="5" t="s">
        <v>291</v>
      </c>
      <c r="E221" s="2" t="s">
        <v>292</v>
      </c>
      <c r="F221" s="2" t="s">
        <v>550</v>
      </c>
      <c r="G221" s="2" t="s">
        <v>57</v>
      </c>
      <c r="H221" s="6" t="s">
        <v>290</v>
      </c>
    </row>
    <row r="222" spans="2:12" x14ac:dyDescent="0.25">
      <c r="C222" s="2" t="s">
        <v>293</v>
      </c>
      <c r="E222" s="2" t="s">
        <v>294</v>
      </c>
      <c r="F222" s="2" t="s">
        <v>183</v>
      </c>
      <c r="G222" s="2" t="s">
        <v>57</v>
      </c>
      <c r="H222" s="6" t="s">
        <v>59</v>
      </c>
      <c r="K222" s="2" t="s">
        <v>583</v>
      </c>
    </row>
    <row r="223" spans="2:12" x14ac:dyDescent="0.25">
      <c r="C223" s="2" t="s">
        <v>295</v>
      </c>
      <c r="E223" s="2" t="s">
        <v>296</v>
      </c>
      <c r="F223" s="2" t="s">
        <v>183</v>
      </c>
      <c r="G223" s="2" t="s">
        <v>57</v>
      </c>
      <c r="H223" s="6" t="s">
        <v>60</v>
      </c>
      <c r="K223" s="2" t="s">
        <v>583</v>
      </c>
    </row>
    <row r="224" spans="2:12" x14ac:dyDescent="0.25">
      <c r="C224" s="2" t="s">
        <v>297</v>
      </c>
      <c r="E224" s="2" t="s">
        <v>298</v>
      </c>
      <c r="F224" s="2" t="s">
        <v>154</v>
      </c>
      <c r="G224" s="2" t="s">
        <v>57</v>
      </c>
      <c r="H224" s="6" t="s">
        <v>63</v>
      </c>
    </row>
    <row r="225" spans="1:12" x14ac:dyDescent="0.25">
      <c r="C225" s="2" t="s">
        <v>304</v>
      </c>
      <c r="E225" s="2" t="s">
        <v>283</v>
      </c>
      <c r="F225" s="2" t="s">
        <v>154</v>
      </c>
      <c r="G225" s="2" t="s">
        <v>57</v>
      </c>
      <c r="H225" s="6" t="s">
        <v>66</v>
      </c>
    </row>
    <row r="226" spans="1:12" ht="40.5" x14ac:dyDescent="0.25">
      <c r="B226" s="3" t="s">
        <v>487</v>
      </c>
      <c r="D226" s="2" t="s">
        <v>210</v>
      </c>
      <c r="E226" s="2" t="s">
        <v>200</v>
      </c>
      <c r="F226" s="2" t="s">
        <v>591</v>
      </c>
      <c r="G226" s="2" t="s">
        <v>50</v>
      </c>
      <c r="H226" s="3" t="s">
        <v>21</v>
      </c>
      <c r="I226" s="5" t="str">
        <f>$B$189</f>
        <v>OMOP Systemic Therapy Episode</v>
      </c>
      <c r="K226" s="2" t="s">
        <v>562</v>
      </c>
    </row>
    <row r="227" spans="1:12" x14ac:dyDescent="0.25">
      <c r="E227" s="2" t="s">
        <v>211</v>
      </c>
      <c r="F227" s="2" t="s">
        <v>591</v>
      </c>
      <c r="G227" s="2" t="s">
        <v>50</v>
      </c>
      <c r="H227" s="3" t="s">
        <v>21</v>
      </c>
      <c r="I227" s="3" t="str">
        <f>$B$218</f>
        <v>OMOP Systemic Therapy Dose Prescribed Drug Exposure</v>
      </c>
      <c r="K227" s="2" t="s">
        <v>562</v>
      </c>
    </row>
    <row r="228" spans="1:12" x14ac:dyDescent="0.25">
      <c r="E228" s="2" t="s">
        <v>212</v>
      </c>
      <c r="F228" s="2" t="s">
        <v>132</v>
      </c>
      <c r="G228" s="2" t="s">
        <v>133</v>
      </c>
      <c r="H228" s="5" t="s">
        <v>133</v>
      </c>
      <c r="I228" s="3" t="s">
        <v>300</v>
      </c>
      <c r="J228" s="2" t="s">
        <v>152</v>
      </c>
      <c r="L228" s="2" t="s">
        <v>301</v>
      </c>
    </row>
    <row r="229" spans="1:12" ht="27" x14ac:dyDescent="0.25">
      <c r="B229" s="3" t="s">
        <v>482</v>
      </c>
      <c r="G229" s="2" t="s">
        <v>57</v>
      </c>
      <c r="H229" s="9" t="s">
        <v>64</v>
      </c>
    </row>
    <row r="230" spans="1:12" ht="27" x14ac:dyDescent="0.25">
      <c r="A230" s="5" t="s">
        <v>538</v>
      </c>
      <c r="B230" s="3" t="s">
        <v>454</v>
      </c>
      <c r="D230" s="2" t="s">
        <v>136</v>
      </c>
      <c r="E230" s="2" t="s">
        <v>200</v>
      </c>
      <c r="F230" s="2" t="s">
        <v>590</v>
      </c>
      <c r="G230" s="2" t="s">
        <v>50</v>
      </c>
      <c r="H230" s="3" t="s">
        <v>21</v>
      </c>
      <c r="K230" s="2" t="s">
        <v>562</v>
      </c>
    </row>
    <row r="231" spans="1:12" x14ac:dyDescent="0.25">
      <c r="E231" s="2" t="s">
        <v>201</v>
      </c>
      <c r="F231" s="2" t="s">
        <v>132</v>
      </c>
      <c r="G231" s="2" t="s">
        <v>133</v>
      </c>
      <c r="H231" s="5" t="s">
        <v>133</v>
      </c>
      <c r="I231" s="3" t="s">
        <v>305</v>
      </c>
      <c r="J231" s="2" t="s">
        <v>203</v>
      </c>
      <c r="L231" s="2" t="s">
        <v>306</v>
      </c>
    </row>
    <row r="232" spans="1:12" x14ac:dyDescent="0.25">
      <c r="E232" s="2" t="s">
        <v>205</v>
      </c>
      <c r="F232" s="2" t="s">
        <v>132</v>
      </c>
      <c r="G232" s="2" t="s">
        <v>133</v>
      </c>
      <c r="H232" s="5" t="s">
        <v>133</v>
      </c>
      <c r="I232" s="3">
        <v>0</v>
      </c>
    </row>
    <row r="233" spans="1:12" x14ac:dyDescent="0.25">
      <c r="E233" s="2" t="s">
        <v>206</v>
      </c>
      <c r="F233" s="2" t="s">
        <v>151</v>
      </c>
      <c r="G233" s="2" t="s">
        <v>68</v>
      </c>
      <c r="H233" s="6" t="s">
        <v>69</v>
      </c>
      <c r="I233" s="5"/>
      <c r="K233" s="2" t="s">
        <v>584</v>
      </c>
    </row>
    <row r="234" spans="1:12" x14ac:dyDescent="0.25">
      <c r="E234" s="2" t="s">
        <v>208</v>
      </c>
      <c r="F234" s="2" t="s">
        <v>183</v>
      </c>
      <c r="G234" s="2" t="s">
        <v>133</v>
      </c>
      <c r="H234" s="5" t="s">
        <v>133</v>
      </c>
      <c r="I234" s="3" t="s">
        <v>554</v>
      </c>
      <c r="K234" s="2" t="s">
        <v>583</v>
      </c>
    </row>
    <row r="235" spans="1:12" ht="27" x14ac:dyDescent="0.25">
      <c r="B235" s="3" t="s">
        <v>488</v>
      </c>
      <c r="D235" s="2" t="s">
        <v>210</v>
      </c>
      <c r="E235" s="2" t="s">
        <v>200</v>
      </c>
      <c r="F235" s="2" t="s">
        <v>148</v>
      </c>
      <c r="G235" s="2" t="s">
        <v>50</v>
      </c>
      <c r="H235" s="3" t="s">
        <v>21</v>
      </c>
      <c r="I235" s="5" t="str">
        <f>$B$154</f>
        <v>OMOP Treatment Episode</v>
      </c>
      <c r="K235" s="2" t="s">
        <v>562</v>
      </c>
    </row>
    <row r="236" spans="1:12" x14ac:dyDescent="0.25">
      <c r="E236" s="2" t="s">
        <v>211</v>
      </c>
      <c r="F236" s="2" t="s">
        <v>591</v>
      </c>
      <c r="G236" s="2" t="s">
        <v>50</v>
      </c>
      <c r="H236" s="3" t="s">
        <v>21</v>
      </c>
      <c r="I236" s="5" t="str">
        <f>$B$230</f>
        <v>OMOP Radiation Episode</v>
      </c>
      <c r="K236" s="2" t="s">
        <v>562</v>
      </c>
    </row>
    <row r="237" spans="1:12" x14ac:dyDescent="0.25">
      <c r="E237" s="2" t="s">
        <v>212</v>
      </c>
      <c r="F237" s="2" t="s">
        <v>132</v>
      </c>
      <c r="G237" s="2" t="s">
        <v>133</v>
      </c>
      <c r="H237" s="5" t="s">
        <v>133</v>
      </c>
      <c r="I237" s="3" t="s">
        <v>268</v>
      </c>
      <c r="J237" s="2" t="s">
        <v>152</v>
      </c>
      <c r="L237" s="2" t="s">
        <v>269</v>
      </c>
    </row>
    <row r="238" spans="1:12" x14ac:dyDescent="0.25">
      <c r="B238" s="3" t="s">
        <v>455</v>
      </c>
      <c r="D238" s="2" t="s">
        <v>143</v>
      </c>
      <c r="E238" s="2" t="s">
        <v>255</v>
      </c>
      <c r="F238" s="2" t="s">
        <v>590</v>
      </c>
      <c r="G238" s="2" t="s">
        <v>50</v>
      </c>
      <c r="H238" s="3" t="s">
        <v>21</v>
      </c>
      <c r="K238" s="2" t="s">
        <v>562</v>
      </c>
    </row>
    <row r="239" spans="1:12" x14ac:dyDescent="0.25">
      <c r="C239" s="2" t="s">
        <v>307</v>
      </c>
      <c r="E239" s="2" t="s">
        <v>256</v>
      </c>
      <c r="F239" s="2" t="s">
        <v>151</v>
      </c>
      <c r="G239" s="2" t="s">
        <v>68</v>
      </c>
      <c r="H239" s="6" t="s">
        <v>69</v>
      </c>
      <c r="K239" s="2" t="s">
        <v>584</v>
      </c>
    </row>
    <row r="240" spans="1:12" x14ac:dyDescent="0.25">
      <c r="C240" s="2" t="s">
        <v>308</v>
      </c>
      <c r="E240" s="2" t="s">
        <v>258</v>
      </c>
      <c r="F240" s="2" t="s">
        <v>154</v>
      </c>
      <c r="G240" s="2" t="s">
        <v>68</v>
      </c>
      <c r="H240" s="6" t="s">
        <v>69</v>
      </c>
    </row>
    <row r="241" spans="2:12" x14ac:dyDescent="0.25">
      <c r="E241" s="2" t="s">
        <v>259</v>
      </c>
      <c r="F241" s="2" t="s">
        <v>183</v>
      </c>
      <c r="G241" s="2" t="s">
        <v>133</v>
      </c>
      <c r="H241" s="5" t="s">
        <v>133</v>
      </c>
      <c r="I241" s="3" t="s">
        <v>554</v>
      </c>
      <c r="K241" s="2" t="s">
        <v>583</v>
      </c>
    </row>
    <row r="242" spans="2:12" x14ac:dyDescent="0.25">
      <c r="C242" s="2" t="s">
        <v>309</v>
      </c>
      <c r="E242" s="2" t="s">
        <v>261</v>
      </c>
      <c r="F242" s="2" t="s">
        <v>151</v>
      </c>
      <c r="G242" s="2" t="s">
        <v>68</v>
      </c>
      <c r="H242" s="6" t="s">
        <v>70</v>
      </c>
      <c r="I242" s="10"/>
    </row>
    <row r="243" spans="2:12" x14ac:dyDescent="0.25">
      <c r="C243" s="2" t="s">
        <v>310</v>
      </c>
      <c r="E243" s="2" t="s">
        <v>263</v>
      </c>
      <c r="F243" s="2" t="s">
        <v>154</v>
      </c>
      <c r="G243" s="2" t="s">
        <v>68</v>
      </c>
      <c r="H243" s="6" t="s">
        <v>70</v>
      </c>
      <c r="I243" s="10"/>
    </row>
    <row r="244" spans="2:12" ht="27" x14ac:dyDescent="0.25">
      <c r="B244" s="3" t="s">
        <v>489</v>
      </c>
      <c r="D244" s="2" t="s">
        <v>210</v>
      </c>
      <c r="E244" s="2" t="s">
        <v>200</v>
      </c>
      <c r="F244" s="2" t="s">
        <v>591</v>
      </c>
      <c r="G244" s="2" t="s">
        <v>50</v>
      </c>
      <c r="H244" s="3" t="s">
        <v>21</v>
      </c>
      <c r="I244" s="5" t="str">
        <f>$B$230</f>
        <v>OMOP Radiation Episode</v>
      </c>
      <c r="K244" s="2" t="s">
        <v>562</v>
      </c>
    </row>
    <row r="245" spans="2:12" x14ac:dyDescent="0.25">
      <c r="E245" s="2" t="s">
        <v>211</v>
      </c>
      <c r="F245" s="2" t="s">
        <v>591</v>
      </c>
      <c r="G245" s="2" t="s">
        <v>50</v>
      </c>
      <c r="H245" s="3" t="s">
        <v>21</v>
      </c>
      <c r="I245" s="5" t="str">
        <f>$B$238</f>
        <v>OMOP Radiation Procedure</v>
      </c>
      <c r="K245" s="2" t="s">
        <v>562</v>
      </c>
    </row>
    <row r="246" spans="2:12" x14ac:dyDescent="0.25">
      <c r="E246" s="2" t="s">
        <v>212</v>
      </c>
      <c r="F246" s="2" t="s">
        <v>132</v>
      </c>
      <c r="G246" s="2" t="s">
        <v>133</v>
      </c>
      <c r="H246" s="5" t="s">
        <v>133</v>
      </c>
      <c r="I246" s="3" t="s">
        <v>264</v>
      </c>
      <c r="J246" s="2" t="s">
        <v>152</v>
      </c>
      <c r="L246" s="2" t="s">
        <v>265</v>
      </c>
    </row>
    <row r="247" spans="2:12" ht="27" x14ac:dyDescent="0.25">
      <c r="B247" s="3" t="s">
        <v>456</v>
      </c>
      <c r="D247" s="2" t="s">
        <v>140</v>
      </c>
      <c r="E247" s="2" t="s">
        <v>213</v>
      </c>
      <c r="F247" s="2" t="s">
        <v>590</v>
      </c>
      <c r="G247" s="2" t="s">
        <v>50</v>
      </c>
      <c r="H247" s="3" t="s">
        <v>21</v>
      </c>
      <c r="K247" s="2" t="s">
        <v>562</v>
      </c>
    </row>
    <row r="248" spans="2:12" x14ac:dyDescent="0.25">
      <c r="E248" s="2" t="s">
        <v>214</v>
      </c>
      <c r="F248" s="2" t="s">
        <v>132</v>
      </c>
      <c r="G248" s="2" t="s">
        <v>133</v>
      </c>
      <c r="H248" s="5" t="s">
        <v>133</v>
      </c>
      <c r="I248" s="3" t="s">
        <v>311</v>
      </c>
      <c r="J248" s="2" t="s">
        <v>174</v>
      </c>
      <c r="L248" s="2" t="s">
        <v>312</v>
      </c>
    </row>
    <row r="249" spans="2:12" x14ac:dyDescent="0.25">
      <c r="E249" s="2" t="s">
        <v>142</v>
      </c>
      <c r="F249" s="2" t="s">
        <v>183</v>
      </c>
      <c r="G249" s="2" t="s">
        <v>133</v>
      </c>
      <c r="H249" s="5" t="s">
        <v>133</v>
      </c>
      <c r="I249" s="3" t="s">
        <v>554</v>
      </c>
      <c r="K249" s="2" t="s">
        <v>583</v>
      </c>
    </row>
    <row r="250" spans="2:12" x14ac:dyDescent="0.25">
      <c r="E250" s="2" t="s">
        <v>149</v>
      </c>
      <c r="F250" s="2" t="s">
        <v>591</v>
      </c>
      <c r="G250" s="2" t="s">
        <v>50</v>
      </c>
      <c r="H250" s="3" t="s">
        <v>21</v>
      </c>
      <c r="I250" s="3" t="str">
        <f>$B$230</f>
        <v>OMOP Radiation Episode</v>
      </c>
      <c r="K250" s="2" t="s">
        <v>562</v>
      </c>
    </row>
    <row r="251" spans="2:12" x14ac:dyDescent="0.25">
      <c r="E251" s="2" t="s">
        <v>150</v>
      </c>
      <c r="F251" s="2" t="s">
        <v>132</v>
      </c>
      <c r="G251" s="2" t="s">
        <v>133</v>
      </c>
      <c r="H251" s="5" t="s">
        <v>133</v>
      </c>
      <c r="I251" s="3" t="s">
        <v>268</v>
      </c>
      <c r="J251" s="2" t="s">
        <v>152</v>
      </c>
      <c r="L251" s="2" t="s">
        <v>269</v>
      </c>
    </row>
    <row r="252" spans="2:12" x14ac:dyDescent="0.25">
      <c r="C252" s="2" t="s">
        <v>313</v>
      </c>
      <c r="E252" s="2" t="s">
        <v>314</v>
      </c>
      <c r="F252" s="2" t="s">
        <v>154</v>
      </c>
      <c r="G252" s="2" t="s">
        <v>68</v>
      </c>
      <c r="H252" s="6" t="s">
        <v>72</v>
      </c>
      <c r="K252" s="2" t="s">
        <v>562</v>
      </c>
    </row>
    <row r="253" spans="2:12" x14ac:dyDescent="0.25">
      <c r="C253" s="2" t="s">
        <v>315</v>
      </c>
      <c r="E253" s="2" t="s">
        <v>316</v>
      </c>
      <c r="F253" s="2" t="s">
        <v>132</v>
      </c>
      <c r="G253" s="2" t="s">
        <v>133</v>
      </c>
      <c r="H253" s="5" t="s">
        <v>133</v>
      </c>
      <c r="I253" s="3" t="s">
        <v>317</v>
      </c>
      <c r="J253" s="2" t="s">
        <v>174</v>
      </c>
      <c r="L253" s="2" t="s">
        <v>318</v>
      </c>
    </row>
    <row r="254" spans="2:12" ht="27" x14ac:dyDescent="0.25">
      <c r="B254" s="3" t="s">
        <v>457</v>
      </c>
      <c r="D254" s="2" t="s">
        <v>140</v>
      </c>
      <c r="E254" s="2" t="s">
        <v>213</v>
      </c>
      <c r="F254" s="2" t="s">
        <v>590</v>
      </c>
      <c r="G254" s="2" t="s">
        <v>50</v>
      </c>
      <c r="H254" s="3" t="s">
        <v>21</v>
      </c>
      <c r="K254" s="2" t="s">
        <v>562</v>
      </c>
    </row>
    <row r="255" spans="2:12" x14ac:dyDescent="0.25">
      <c r="E255" s="2" t="s">
        <v>214</v>
      </c>
      <c r="F255" s="2" t="s">
        <v>132</v>
      </c>
      <c r="G255" s="2" t="s">
        <v>68</v>
      </c>
      <c r="H255" s="6"/>
      <c r="I255" s="3" t="s">
        <v>319</v>
      </c>
      <c r="J255" s="2" t="s">
        <v>174</v>
      </c>
      <c r="L255" s="2" t="s">
        <v>320</v>
      </c>
    </row>
    <row r="256" spans="2:12" x14ac:dyDescent="0.25">
      <c r="E256" s="2" t="s">
        <v>142</v>
      </c>
      <c r="F256" s="2" t="s">
        <v>183</v>
      </c>
      <c r="G256" s="2" t="s">
        <v>133</v>
      </c>
      <c r="H256" s="5" t="s">
        <v>133</v>
      </c>
      <c r="I256" s="3" t="s">
        <v>554</v>
      </c>
      <c r="K256" s="2" t="s">
        <v>583</v>
      </c>
    </row>
    <row r="257" spans="2:12" x14ac:dyDescent="0.25">
      <c r="E257" s="2" t="s">
        <v>149</v>
      </c>
      <c r="F257" s="2" t="s">
        <v>591</v>
      </c>
      <c r="G257" s="2" t="s">
        <v>50</v>
      </c>
      <c r="H257" s="3" t="s">
        <v>21</v>
      </c>
      <c r="I257" s="3" t="str">
        <f>$B$230</f>
        <v>OMOP Radiation Episode</v>
      </c>
      <c r="K257" s="2" t="s">
        <v>562</v>
      </c>
    </row>
    <row r="258" spans="2:12" x14ac:dyDescent="0.25">
      <c r="E258" s="2" t="s">
        <v>150</v>
      </c>
      <c r="F258" s="2" t="s">
        <v>132</v>
      </c>
      <c r="G258" s="2" t="s">
        <v>133</v>
      </c>
      <c r="H258" s="5" t="s">
        <v>133</v>
      </c>
      <c r="I258" s="3" t="s">
        <v>268</v>
      </c>
      <c r="J258" s="2" t="s">
        <v>152</v>
      </c>
      <c r="L258" s="2" t="s">
        <v>269</v>
      </c>
    </row>
    <row r="259" spans="2:12" x14ac:dyDescent="0.25">
      <c r="C259" s="2" t="s">
        <v>313</v>
      </c>
      <c r="E259" s="2" t="s">
        <v>314</v>
      </c>
      <c r="F259" s="2" t="s">
        <v>154</v>
      </c>
      <c r="G259" s="2" t="s">
        <v>68</v>
      </c>
      <c r="H259" s="6" t="s">
        <v>71</v>
      </c>
      <c r="K259" s="2" t="s">
        <v>562</v>
      </c>
    </row>
    <row r="260" spans="2:12" ht="27" x14ac:dyDescent="0.25">
      <c r="B260" s="3" t="s">
        <v>458</v>
      </c>
      <c r="D260" s="2" t="s">
        <v>130</v>
      </c>
      <c r="E260" s="2" t="s">
        <v>172</v>
      </c>
      <c r="F260" s="2" t="s">
        <v>590</v>
      </c>
      <c r="G260" s="2" t="s">
        <v>50</v>
      </c>
      <c r="H260" s="3" t="s">
        <v>21</v>
      </c>
      <c r="K260" s="2" t="s">
        <v>562</v>
      </c>
    </row>
    <row r="261" spans="2:12" x14ac:dyDescent="0.25">
      <c r="E261" s="2" t="s">
        <v>173</v>
      </c>
      <c r="F261" s="2" t="s">
        <v>132</v>
      </c>
      <c r="G261" s="2" t="s">
        <v>133</v>
      </c>
      <c r="H261" s="5" t="s">
        <v>133</v>
      </c>
      <c r="I261" s="3" t="s">
        <v>321</v>
      </c>
      <c r="J261" s="2" t="s">
        <v>174</v>
      </c>
      <c r="L261" s="2" t="s">
        <v>322</v>
      </c>
    </row>
    <row r="262" spans="2:12" x14ac:dyDescent="0.25">
      <c r="E262" s="2" t="s">
        <v>135</v>
      </c>
      <c r="F262" s="2" t="s">
        <v>183</v>
      </c>
      <c r="G262" s="2" t="s">
        <v>133</v>
      </c>
      <c r="H262" s="5" t="s">
        <v>133</v>
      </c>
      <c r="I262" s="3" t="s">
        <v>554</v>
      </c>
      <c r="K262" s="2" t="s">
        <v>583</v>
      </c>
    </row>
    <row r="263" spans="2:12" x14ac:dyDescent="0.25">
      <c r="E263" s="2" t="s">
        <v>228</v>
      </c>
      <c r="F263" s="2" t="s">
        <v>591</v>
      </c>
      <c r="G263" s="2" t="s">
        <v>50</v>
      </c>
      <c r="H263" s="3" t="s">
        <v>21</v>
      </c>
      <c r="I263" s="3" t="str">
        <f>$B$230</f>
        <v>OMOP Radiation Episode</v>
      </c>
      <c r="K263" s="2" t="s">
        <v>562</v>
      </c>
    </row>
    <row r="264" spans="2:12" x14ac:dyDescent="0.25">
      <c r="E264" s="2" t="s">
        <v>229</v>
      </c>
      <c r="F264" s="2" t="s">
        <v>132</v>
      </c>
      <c r="G264" s="2" t="s">
        <v>133</v>
      </c>
      <c r="H264" s="5" t="s">
        <v>133</v>
      </c>
      <c r="I264" s="3" t="s">
        <v>268</v>
      </c>
      <c r="J264" s="2" t="s">
        <v>152</v>
      </c>
      <c r="L264" s="2" t="s">
        <v>269</v>
      </c>
    </row>
    <row r="265" spans="2:12" x14ac:dyDescent="0.25">
      <c r="C265" s="2" t="s">
        <v>323</v>
      </c>
      <c r="E265" s="2" t="s">
        <v>176</v>
      </c>
      <c r="F265" s="2" t="s">
        <v>151</v>
      </c>
      <c r="G265" s="2" t="s">
        <v>68</v>
      </c>
      <c r="H265" s="6" t="s">
        <v>73</v>
      </c>
      <c r="K265" s="2" t="s">
        <v>562</v>
      </c>
    </row>
    <row r="266" spans="2:12" x14ac:dyDescent="0.25">
      <c r="C266" s="2" t="s">
        <v>324</v>
      </c>
      <c r="E266" s="2" t="s">
        <v>178</v>
      </c>
      <c r="F266" s="2" t="s">
        <v>154</v>
      </c>
      <c r="G266" s="2" t="s">
        <v>68</v>
      </c>
      <c r="H266" s="6" t="s">
        <v>73</v>
      </c>
    </row>
    <row r="267" spans="2:12" ht="27" x14ac:dyDescent="0.25">
      <c r="B267" s="3" t="s">
        <v>459</v>
      </c>
      <c r="D267" s="2" t="s">
        <v>143</v>
      </c>
      <c r="E267" s="2" t="s">
        <v>255</v>
      </c>
      <c r="F267" s="2" t="s">
        <v>590</v>
      </c>
      <c r="G267" s="2" t="s">
        <v>50</v>
      </c>
      <c r="H267" s="3" t="s">
        <v>21</v>
      </c>
      <c r="K267" s="2" t="s">
        <v>562</v>
      </c>
    </row>
    <row r="268" spans="2:12" x14ac:dyDescent="0.25">
      <c r="E268" s="2" t="s">
        <v>256</v>
      </c>
      <c r="F268" s="2" t="s">
        <v>132</v>
      </c>
      <c r="G268" s="2" t="s">
        <v>133</v>
      </c>
      <c r="H268" s="6" t="s">
        <v>133</v>
      </c>
      <c r="I268" s="3" t="s">
        <v>325</v>
      </c>
      <c r="J268" s="2" t="s">
        <v>174</v>
      </c>
      <c r="L268" s="2" t="s">
        <v>326</v>
      </c>
    </row>
    <row r="269" spans="2:12" x14ac:dyDescent="0.25">
      <c r="E269" s="2" t="s">
        <v>259</v>
      </c>
      <c r="F269" s="2" t="s">
        <v>183</v>
      </c>
      <c r="G269" s="2" t="s">
        <v>133</v>
      </c>
      <c r="H269" s="5" t="s">
        <v>133</v>
      </c>
      <c r="I269" s="3" t="s">
        <v>554</v>
      </c>
      <c r="K269" s="2" t="s">
        <v>583</v>
      </c>
    </row>
    <row r="270" spans="2:12" x14ac:dyDescent="0.25">
      <c r="E270" s="2" t="s">
        <v>261</v>
      </c>
      <c r="F270" s="2" t="s">
        <v>151</v>
      </c>
      <c r="G270" s="2" t="s">
        <v>68</v>
      </c>
      <c r="H270" s="6" t="s">
        <v>74</v>
      </c>
      <c r="K270" s="2" t="s">
        <v>562</v>
      </c>
    </row>
    <row r="271" spans="2:12" x14ac:dyDescent="0.25">
      <c r="E271" s="2" t="s">
        <v>263</v>
      </c>
      <c r="F271" s="2" t="s">
        <v>154</v>
      </c>
      <c r="G271" s="2" t="s">
        <v>68</v>
      </c>
      <c r="H271" s="6" t="s">
        <v>74</v>
      </c>
    </row>
    <row r="272" spans="2:12" ht="40.5" x14ac:dyDescent="0.25">
      <c r="B272" s="3" t="s">
        <v>490</v>
      </c>
      <c r="D272" s="2" t="s">
        <v>210</v>
      </c>
      <c r="E272" s="2" t="s">
        <v>200</v>
      </c>
      <c r="F272" s="2" t="s">
        <v>591</v>
      </c>
      <c r="G272" s="2" t="s">
        <v>50</v>
      </c>
      <c r="H272" s="3" t="s">
        <v>21</v>
      </c>
      <c r="I272" s="5" t="str">
        <f>$B$230</f>
        <v>OMOP Radiation Episode</v>
      </c>
      <c r="K272" s="2" t="s">
        <v>562</v>
      </c>
    </row>
    <row r="273" spans="1:12" x14ac:dyDescent="0.25">
      <c r="E273" s="2" t="s">
        <v>211</v>
      </c>
      <c r="F273" s="2" t="s">
        <v>591</v>
      </c>
      <c r="G273" s="2" t="s">
        <v>50</v>
      </c>
      <c r="H273" s="3" t="s">
        <v>21</v>
      </c>
      <c r="I273" s="3" t="str">
        <f>$B$267</f>
        <v>OMOP Radiation Boost Procedure</v>
      </c>
      <c r="K273" s="2" t="s">
        <v>562</v>
      </c>
    </row>
    <row r="274" spans="1:12" x14ac:dyDescent="0.25">
      <c r="E274" s="2" t="s">
        <v>212</v>
      </c>
      <c r="F274" s="2" t="s">
        <v>132</v>
      </c>
      <c r="G274" s="2" t="s">
        <v>133</v>
      </c>
      <c r="H274" s="5" t="s">
        <v>133</v>
      </c>
      <c r="I274" s="3" t="s">
        <v>264</v>
      </c>
      <c r="J274" s="2" t="s">
        <v>152</v>
      </c>
      <c r="L274" s="2" t="s">
        <v>265</v>
      </c>
    </row>
    <row r="275" spans="1:12" ht="27" x14ac:dyDescent="0.25">
      <c r="A275" s="5" t="s">
        <v>539</v>
      </c>
      <c r="B275" s="3" t="s">
        <v>460</v>
      </c>
      <c r="D275" s="2" t="s">
        <v>543</v>
      </c>
      <c r="E275" s="2" t="s">
        <v>133</v>
      </c>
      <c r="F275" s="2" t="s">
        <v>555</v>
      </c>
      <c r="G275" s="2" t="s">
        <v>75</v>
      </c>
      <c r="H275" s="6" t="s">
        <v>76</v>
      </c>
    </row>
    <row r="276" spans="1:12" x14ac:dyDescent="0.25">
      <c r="D276" s="2" t="s">
        <v>136</v>
      </c>
      <c r="E276" s="2" t="s">
        <v>200</v>
      </c>
      <c r="F276" s="2" t="s">
        <v>590</v>
      </c>
      <c r="G276" s="2" t="s">
        <v>50</v>
      </c>
      <c r="H276" s="3" t="s">
        <v>21</v>
      </c>
      <c r="K276" s="2" t="s">
        <v>562</v>
      </c>
    </row>
    <row r="277" spans="1:12" x14ac:dyDescent="0.25">
      <c r="E277" s="2" t="s">
        <v>201</v>
      </c>
      <c r="F277" s="2" t="s">
        <v>132</v>
      </c>
      <c r="G277" s="2" t="s">
        <v>133</v>
      </c>
      <c r="H277" s="5" t="s">
        <v>133</v>
      </c>
      <c r="I277" s="3" t="s">
        <v>327</v>
      </c>
      <c r="J277" s="2" t="s">
        <v>203</v>
      </c>
      <c r="L277" s="2" t="s">
        <v>328</v>
      </c>
    </row>
    <row r="278" spans="1:12" x14ac:dyDescent="0.25">
      <c r="E278" s="2" t="s">
        <v>205</v>
      </c>
      <c r="F278" s="2" t="s">
        <v>132</v>
      </c>
      <c r="G278" s="2" t="s">
        <v>133</v>
      </c>
      <c r="H278" s="5" t="s">
        <v>133</v>
      </c>
      <c r="I278" s="3">
        <v>0</v>
      </c>
    </row>
    <row r="279" spans="1:12" x14ac:dyDescent="0.25">
      <c r="E279" s="2" t="s">
        <v>206</v>
      </c>
      <c r="F279" s="2" t="s">
        <v>192</v>
      </c>
      <c r="G279" s="2" t="s">
        <v>75</v>
      </c>
      <c r="H279" s="6" t="s">
        <v>77</v>
      </c>
      <c r="I279" s="5"/>
      <c r="J279" s="2" t="s">
        <v>553</v>
      </c>
      <c r="K279" s="2" t="s">
        <v>584</v>
      </c>
    </row>
    <row r="280" spans="1:12" x14ac:dyDescent="0.25">
      <c r="E280" s="2" t="s">
        <v>208</v>
      </c>
      <c r="F280" s="2" t="s">
        <v>183</v>
      </c>
      <c r="G280" s="2" t="s">
        <v>133</v>
      </c>
      <c r="H280" s="8" t="s">
        <v>133</v>
      </c>
      <c r="I280" s="3" t="s">
        <v>554</v>
      </c>
      <c r="K280" s="2" t="s">
        <v>583</v>
      </c>
    </row>
    <row r="281" spans="1:12" ht="27" x14ac:dyDescent="0.25">
      <c r="B281" s="3" t="s">
        <v>491</v>
      </c>
      <c r="D281" s="2" t="s">
        <v>210</v>
      </c>
      <c r="E281" s="2" t="s">
        <v>200</v>
      </c>
      <c r="F281" s="2" t="s">
        <v>148</v>
      </c>
      <c r="G281" s="2" t="s">
        <v>50</v>
      </c>
      <c r="H281" s="3" t="s">
        <v>21</v>
      </c>
      <c r="I281" s="5" t="str">
        <f>$B$154</f>
        <v>OMOP Treatment Episode</v>
      </c>
      <c r="K281" s="2" t="s">
        <v>562</v>
      </c>
    </row>
    <row r="282" spans="1:12" x14ac:dyDescent="0.25">
      <c r="E282" s="2" t="s">
        <v>211</v>
      </c>
      <c r="F282" s="2" t="s">
        <v>591</v>
      </c>
      <c r="G282" s="2" t="s">
        <v>50</v>
      </c>
      <c r="H282" s="3" t="s">
        <v>21</v>
      </c>
      <c r="I282" s="3" t="str">
        <f>$B$275</f>
        <v>OMOP Surgery Episode</v>
      </c>
      <c r="K282" s="2" t="s">
        <v>562</v>
      </c>
    </row>
    <row r="283" spans="1:12" x14ac:dyDescent="0.25">
      <c r="E283" s="2" t="s">
        <v>212</v>
      </c>
      <c r="F283" s="2" t="s">
        <v>132</v>
      </c>
      <c r="G283" s="2" t="s">
        <v>133</v>
      </c>
      <c r="H283" s="5" t="s">
        <v>133</v>
      </c>
      <c r="I283" s="3" t="s">
        <v>268</v>
      </c>
      <c r="J283" s="2" t="s">
        <v>152</v>
      </c>
      <c r="L283" s="2" t="s">
        <v>269</v>
      </c>
    </row>
    <row r="284" spans="1:12" x14ac:dyDescent="0.25">
      <c r="B284" s="3" t="s">
        <v>461</v>
      </c>
      <c r="D284" s="2" t="s">
        <v>143</v>
      </c>
      <c r="E284" s="2" t="s">
        <v>255</v>
      </c>
      <c r="F284" s="2" t="s">
        <v>590</v>
      </c>
      <c r="G284" s="2" t="s">
        <v>50</v>
      </c>
      <c r="H284" s="3" t="s">
        <v>21</v>
      </c>
      <c r="K284" s="2" t="s">
        <v>562</v>
      </c>
    </row>
    <row r="285" spans="1:12" x14ac:dyDescent="0.25">
      <c r="C285" s="2" t="s">
        <v>329</v>
      </c>
      <c r="E285" s="2" t="s">
        <v>256</v>
      </c>
      <c r="F285" s="2" t="s">
        <v>192</v>
      </c>
      <c r="G285" s="2" t="s">
        <v>75</v>
      </c>
      <c r="H285" s="6" t="s">
        <v>77</v>
      </c>
      <c r="I285" s="5"/>
      <c r="J285" s="2" t="s">
        <v>553</v>
      </c>
      <c r="K285" s="2" t="s">
        <v>584</v>
      </c>
    </row>
    <row r="286" spans="1:12" ht="40.5" x14ac:dyDescent="0.25">
      <c r="C286" s="5" t="s">
        <v>330</v>
      </c>
      <c r="E286" s="2" t="s">
        <v>258</v>
      </c>
      <c r="F286" s="2" t="s">
        <v>550</v>
      </c>
      <c r="G286" s="2" t="s">
        <v>75</v>
      </c>
      <c r="H286" s="6" t="s">
        <v>331</v>
      </c>
    </row>
    <row r="287" spans="1:12" x14ac:dyDescent="0.25">
      <c r="E287" s="2" t="s">
        <v>259</v>
      </c>
      <c r="F287" s="2" t="s">
        <v>183</v>
      </c>
      <c r="G287" s="2" t="s">
        <v>133</v>
      </c>
      <c r="H287" s="5" t="s">
        <v>133</v>
      </c>
      <c r="I287" s="3" t="s">
        <v>554</v>
      </c>
      <c r="K287" s="2" t="s">
        <v>583</v>
      </c>
    </row>
    <row r="288" spans="1:12" ht="27" x14ac:dyDescent="0.25">
      <c r="B288" s="3" t="s">
        <v>492</v>
      </c>
      <c r="D288" s="2" t="s">
        <v>210</v>
      </c>
      <c r="E288" s="2" t="s">
        <v>200</v>
      </c>
      <c r="F288" s="2" t="s">
        <v>591</v>
      </c>
      <c r="G288" s="2" t="s">
        <v>50</v>
      </c>
      <c r="H288" s="3" t="s">
        <v>21</v>
      </c>
      <c r="I288" s="3" t="str">
        <f>$B$275</f>
        <v>OMOP Surgery Episode</v>
      </c>
      <c r="K288" s="2" t="s">
        <v>562</v>
      </c>
    </row>
    <row r="289" spans="2:12" x14ac:dyDescent="0.25">
      <c r="E289" s="2" t="s">
        <v>211</v>
      </c>
      <c r="F289" s="2" t="s">
        <v>591</v>
      </c>
      <c r="G289" s="2" t="s">
        <v>50</v>
      </c>
      <c r="H289" s="3" t="s">
        <v>21</v>
      </c>
      <c r="I289" s="3" t="str">
        <f>$B$284</f>
        <v>OMOP Surgery Procedure</v>
      </c>
      <c r="K289" s="2" t="s">
        <v>562</v>
      </c>
    </row>
    <row r="290" spans="2:12" x14ac:dyDescent="0.25">
      <c r="E290" s="2" t="s">
        <v>212</v>
      </c>
      <c r="F290" s="2" t="s">
        <v>132</v>
      </c>
      <c r="G290" s="2" t="s">
        <v>133</v>
      </c>
      <c r="H290" s="5" t="s">
        <v>133</v>
      </c>
      <c r="I290" s="3" t="s">
        <v>264</v>
      </c>
      <c r="J290" s="2" t="s">
        <v>152</v>
      </c>
      <c r="L290" s="2" t="s">
        <v>265</v>
      </c>
    </row>
    <row r="291" spans="2:12" ht="27" x14ac:dyDescent="0.25">
      <c r="B291" s="3" t="s">
        <v>462</v>
      </c>
      <c r="D291" s="2" t="s">
        <v>140</v>
      </c>
      <c r="E291" s="2" t="s">
        <v>213</v>
      </c>
      <c r="F291" s="2" t="s">
        <v>590</v>
      </c>
      <c r="G291" s="2" t="s">
        <v>50</v>
      </c>
      <c r="H291" s="3" t="s">
        <v>21</v>
      </c>
      <c r="K291" s="2" t="s">
        <v>562</v>
      </c>
    </row>
    <row r="292" spans="2:12" x14ac:dyDescent="0.25">
      <c r="E292" s="2" t="s">
        <v>214</v>
      </c>
      <c r="F292" s="2" t="s">
        <v>132</v>
      </c>
      <c r="H292" s="6"/>
      <c r="I292" s="3" t="s">
        <v>332</v>
      </c>
      <c r="J292" s="2" t="s">
        <v>174</v>
      </c>
      <c r="L292" s="2" t="s">
        <v>333</v>
      </c>
    </row>
    <row r="293" spans="2:12" x14ac:dyDescent="0.25">
      <c r="E293" s="2" t="s">
        <v>142</v>
      </c>
      <c r="F293" s="2" t="s">
        <v>183</v>
      </c>
      <c r="G293" s="2" t="s">
        <v>133</v>
      </c>
      <c r="H293" s="5" t="s">
        <v>133</v>
      </c>
      <c r="I293" s="3" t="s">
        <v>554</v>
      </c>
      <c r="K293" s="2" t="s">
        <v>583</v>
      </c>
    </row>
    <row r="294" spans="2:12" x14ac:dyDescent="0.25">
      <c r="E294" s="2" t="s">
        <v>149</v>
      </c>
      <c r="F294" s="2" t="s">
        <v>591</v>
      </c>
      <c r="G294" s="2" t="s">
        <v>50</v>
      </c>
      <c r="H294" s="3" t="s">
        <v>21</v>
      </c>
      <c r="I294" s="3" t="str">
        <f>$B$275</f>
        <v>OMOP Surgery Episode</v>
      </c>
      <c r="K294" s="2" t="s">
        <v>562</v>
      </c>
    </row>
    <row r="295" spans="2:12" x14ac:dyDescent="0.25">
      <c r="E295" s="2" t="s">
        <v>150</v>
      </c>
      <c r="F295" s="2" t="s">
        <v>132</v>
      </c>
      <c r="G295" s="2" t="s">
        <v>133</v>
      </c>
      <c r="H295" s="5" t="s">
        <v>133</v>
      </c>
      <c r="I295" s="3" t="s">
        <v>268</v>
      </c>
      <c r="J295" s="2" t="s">
        <v>152</v>
      </c>
      <c r="L295" s="2" t="s">
        <v>269</v>
      </c>
    </row>
    <row r="296" spans="2:12" x14ac:dyDescent="0.25">
      <c r="C296" s="2" t="s">
        <v>334</v>
      </c>
      <c r="E296" s="2" t="s">
        <v>314</v>
      </c>
      <c r="F296" s="2" t="s">
        <v>154</v>
      </c>
      <c r="G296" s="2" t="s">
        <v>75</v>
      </c>
      <c r="H296" s="6" t="s">
        <v>80</v>
      </c>
      <c r="K296" s="2" t="s">
        <v>562</v>
      </c>
    </row>
    <row r="297" spans="2:12" x14ac:dyDescent="0.25">
      <c r="E297" s="2" t="s">
        <v>316</v>
      </c>
      <c r="F297" s="2" t="s">
        <v>132</v>
      </c>
      <c r="G297" s="2" t="s">
        <v>133</v>
      </c>
      <c r="H297" s="5" t="s">
        <v>133</v>
      </c>
      <c r="I297" s="3" t="s">
        <v>335</v>
      </c>
      <c r="J297" s="2" t="s">
        <v>174</v>
      </c>
      <c r="L297" s="2" t="s">
        <v>336</v>
      </c>
    </row>
    <row r="298" spans="2:12" ht="27" x14ac:dyDescent="0.25">
      <c r="B298" s="3" t="s">
        <v>463</v>
      </c>
      <c r="D298" s="2" t="s">
        <v>140</v>
      </c>
      <c r="E298" s="2" t="s">
        <v>213</v>
      </c>
      <c r="F298" s="2" t="s">
        <v>590</v>
      </c>
      <c r="G298" s="2" t="s">
        <v>50</v>
      </c>
      <c r="H298" s="3" t="s">
        <v>21</v>
      </c>
      <c r="K298" s="2" t="s">
        <v>562</v>
      </c>
    </row>
    <row r="299" spans="2:12" x14ac:dyDescent="0.25">
      <c r="E299" s="2" t="s">
        <v>214</v>
      </c>
      <c r="F299" s="2" t="s">
        <v>132</v>
      </c>
      <c r="H299" s="6"/>
      <c r="I299" s="3" t="s">
        <v>337</v>
      </c>
      <c r="J299" s="2" t="s">
        <v>174</v>
      </c>
      <c r="L299" s="2" t="s">
        <v>338</v>
      </c>
    </row>
    <row r="300" spans="2:12" x14ac:dyDescent="0.25">
      <c r="E300" s="2" t="s">
        <v>142</v>
      </c>
      <c r="F300" s="2" t="s">
        <v>183</v>
      </c>
      <c r="G300" s="2" t="s">
        <v>133</v>
      </c>
      <c r="H300" s="5" t="s">
        <v>133</v>
      </c>
      <c r="I300" s="3" t="s">
        <v>554</v>
      </c>
      <c r="K300" s="2" t="s">
        <v>583</v>
      </c>
    </row>
    <row r="301" spans="2:12" x14ac:dyDescent="0.25">
      <c r="E301" s="2" t="s">
        <v>149</v>
      </c>
      <c r="F301" s="2" t="s">
        <v>591</v>
      </c>
      <c r="G301" s="2" t="s">
        <v>50</v>
      </c>
      <c r="H301" s="3" t="s">
        <v>21</v>
      </c>
      <c r="I301" s="3" t="str">
        <f>$B$275</f>
        <v>OMOP Surgery Episode</v>
      </c>
      <c r="K301" s="2" t="s">
        <v>562</v>
      </c>
    </row>
    <row r="302" spans="2:12" x14ac:dyDescent="0.25">
      <c r="E302" s="2" t="s">
        <v>150</v>
      </c>
      <c r="F302" s="2" t="s">
        <v>132</v>
      </c>
      <c r="G302" s="2" t="s">
        <v>133</v>
      </c>
      <c r="H302" s="5" t="s">
        <v>133</v>
      </c>
      <c r="I302" s="3" t="s">
        <v>268</v>
      </c>
      <c r="J302" s="2" t="s">
        <v>152</v>
      </c>
      <c r="L302" s="2" t="s">
        <v>269</v>
      </c>
    </row>
    <row r="303" spans="2:12" x14ac:dyDescent="0.25">
      <c r="C303" s="2" t="s">
        <v>339</v>
      </c>
      <c r="E303" s="2" t="s">
        <v>314</v>
      </c>
      <c r="F303" s="2" t="s">
        <v>154</v>
      </c>
      <c r="G303" s="2" t="s">
        <v>75</v>
      </c>
      <c r="H303" s="6" t="s">
        <v>81</v>
      </c>
      <c r="K303" s="2" t="s">
        <v>562</v>
      </c>
    </row>
    <row r="304" spans="2:12" x14ac:dyDescent="0.25">
      <c r="E304" s="2" t="s">
        <v>316</v>
      </c>
      <c r="F304" s="2" t="s">
        <v>132</v>
      </c>
      <c r="G304" s="2" t="s">
        <v>133</v>
      </c>
      <c r="H304" s="5" t="s">
        <v>133</v>
      </c>
      <c r="I304" s="3" t="s">
        <v>335</v>
      </c>
      <c r="J304" s="2" t="s">
        <v>174</v>
      </c>
      <c r="L304" s="2" t="s">
        <v>336</v>
      </c>
    </row>
    <row r="305" spans="2:12" ht="40.5" x14ac:dyDescent="0.25">
      <c r="B305" s="3" t="s">
        <v>464</v>
      </c>
      <c r="D305" s="2" t="s">
        <v>140</v>
      </c>
      <c r="E305" s="2" t="s">
        <v>213</v>
      </c>
      <c r="F305" s="2" t="s">
        <v>590</v>
      </c>
      <c r="G305" s="2" t="s">
        <v>50</v>
      </c>
      <c r="H305" s="3" t="s">
        <v>21</v>
      </c>
      <c r="K305" s="2" t="s">
        <v>562</v>
      </c>
    </row>
    <row r="306" spans="2:12" x14ac:dyDescent="0.25">
      <c r="E306" s="2" t="s">
        <v>214</v>
      </c>
      <c r="F306" s="2" t="s">
        <v>132</v>
      </c>
      <c r="H306" s="6"/>
      <c r="I306" s="3" t="s">
        <v>340</v>
      </c>
      <c r="J306" s="2" t="s">
        <v>174</v>
      </c>
      <c r="L306" s="2" t="s">
        <v>341</v>
      </c>
    </row>
    <row r="307" spans="2:12" x14ac:dyDescent="0.25">
      <c r="E307" s="2" t="s">
        <v>142</v>
      </c>
      <c r="F307" s="2" t="s">
        <v>183</v>
      </c>
      <c r="G307" s="2" t="s">
        <v>133</v>
      </c>
      <c r="H307" s="5" t="s">
        <v>133</v>
      </c>
      <c r="I307" s="3" t="s">
        <v>554</v>
      </c>
      <c r="K307" s="2" t="s">
        <v>583</v>
      </c>
    </row>
    <row r="308" spans="2:12" x14ac:dyDescent="0.25">
      <c r="E308" s="2" t="s">
        <v>149</v>
      </c>
      <c r="F308" s="2" t="s">
        <v>591</v>
      </c>
      <c r="G308" s="2" t="s">
        <v>50</v>
      </c>
      <c r="H308" s="3" t="s">
        <v>21</v>
      </c>
      <c r="I308" s="3" t="str">
        <f>$B$275</f>
        <v>OMOP Surgery Episode</v>
      </c>
      <c r="K308" s="2" t="s">
        <v>562</v>
      </c>
    </row>
    <row r="309" spans="2:12" x14ac:dyDescent="0.25">
      <c r="E309" s="2" t="s">
        <v>150</v>
      </c>
      <c r="F309" s="2" t="s">
        <v>132</v>
      </c>
      <c r="G309" s="2" t="s">
        <v>133</v>
      </c>
      <c r="H309" s="5" t="s">
        <v>133</v>
      </c>
      <c r="I309" s="3" t="s">
        <v>268</v>
      </c>
      <c r="J309" s="2" t="s">
        <v>152</v>
      </c>
      <c r="L309" s="2" t="s">
        <v>269</v>
      </c>
    </row>
    <row r="310" spans="2:12" x14ac:dyDescent="0.25">
      <c r="C310" s="2" t="s">
        <v>339</v>
      </c>
      <c r="E310" s="2" t="s">
        <v>314</v>
      </c>
      <c r="F310" s="2" t="s">
        <v>154</v>
      </c>
      <c r="G310" s="2" t="s">
        <v>75</v>
      </c>
      <c r="H310" s="6" t="s">
        <v>82</v>
      </c>
      <c r="K310" s="2" t="s">
        <v>562</v>
      </c>
    </row>
    <row r="311" spans="2:12" x14ac:dyDescent="0.25">
      <c r="E311" s="2" t="s">
        <v>316</v>
      </c>
      <c r="F311" s="2" t="s">
        <v>132</v>
      </c>
      <c r="G311" s="2" t="s">
        <v>133</v>
      </c>
      <c r="H311" s="5" t="s">
        <v>133</v>
      </c>
      <c r="I311" s="3" t="s">
        <v>335</v>
      </c>
      <c r="J311" s="2" t="s">
        <v>174</v>
      </c>
      <c r="L311" s="2" t="s">
        <v>336</v>
      </c>
    </row>
    <row r="312" spans="2:12" ht="27" x14ac:dyDescent="0.25">
      <c r="B312" s="3" t="s">
        <v>465</v>
      </c>
      <c r="D312" s="2" t="s">
        <v>130</v>
      </c>
      <c r="E312" s="2" t="s">
        <v>172</v>
      </c>
      <c r="F312" s="2" t="s">
        <v>590</v>
      </c>
      <c r="G312" s="2" t="s">
        <v>50</v>
      </c>
      <c r="H312" s="3" t="s">
        <v>21</v>
      </c>
      <c r="K312" s="2" t="s">
        <v>562</v>
      </c>
    </row>
    <row r="313" spans="2:12" x14ac:dyDescent="0.25">
      <c r="E313" s="2" t="s">
        <v>173</v>
      </c>
      <c r="F313" s="2" t="s">
        <v>132</v>
      </c>
      <c r="G313" s="2" t="s">
        <v>133</v>
      </c>
      <c r="H313" s="5" t="s">
        <v>133</v>
      </c>
      <c r="I313" s="3" t="s">
        <v>321</v>
      </c>
      <c r="J313" s="2" t="s">
        <v>174</v>
      </c>
      <c r="L313" s="2" t="s">
        <v>322</v>
      </c>
    </row>
    <row r="314" spans="2:12" x14ac:dyDescent="0.25">
      <c r="E314" s="2" t="s">
        <v>135</v>
      </c>
      <c r="F314" s="2" t="s">
        <v>183</v>
      </c>
      <c r="G314" s="2" t="s">
        <v>133</v>
      </c>
      <c r="H314" s="5" t="s">
        <v>133</v>
      </c>
      <c r="I314" s="3" t="s">
        <v>554</v>
      </c>
      <c r="K314" s="2" t="s">
        <v>583</v>
      </c>
    </row>
    <row r="315" spans="2:12" x14ac:dyDescent="0.25">
      <c r="E315" s="2" t="s">
        <v>228</v>
      </c>
      <c r="F315" s="2" t="s">
        <v>591</v>
      </c>
      <c r="G315" s="2" t="s">
        <v>50</v>
      </c>
      <c r="H315" s="3" t="s">
        <v>21</v>
      </c>
      <c r="I315" s="3" t="str">
        <f>$B$275</f>
        <v>OMOP Surgery Episode</v>
      </c>
      <c r="K315" s="2" t="s">
        <v>562</v>
      </c>
    </row>
    <row r="316" spans="2:12" x14ac:dyDescent="0.25">
      <c r="E316" s="2" t="s">
        <v>229</v>
      </c>
      <c r="F316" s="2" t="s">
        <v>132</v>
      </c>
      <c r="G316" s="2" t="s">
        <v>133</v>
      </c>
      <c r="H316" s="5" t="s">
        <v>133</v>
      </c>
      <c r="I316" s="3" t="s">
        <v>268</v>
      </c>
      <c r="J316" s="2" t="s">
        <v>152</v>
      </c>
      <c r="L316" s="2" t="s">
        <v>269</v>
      </c>
    </row>
    <row r="317" spans="2:12" x14ac:dyDescent="0.25">
      <c r="C317" s="2" t="s">
        <v>342</v>
      </c>
      <c r="E317" s="2" t="s">
        <v>176</v>
      </c>
      <c r="F317" s="2" t="s">
        <v>192</v>
      </c>
      <c r="G317" s="2" t="s">
        <v>75</v>
      </c>
      <c r="H317" s="6" t="s">
        <v>78</v>
      </c>
      <c r="J317" s="2" t="s">
        <v>531</v>
      </c>
      <c r="K317" s="2" t="s">
        <v>562</v>
      </c>
    </row>
    <row r="318" spans="2:12" x14ac:dyDescent="0.25">
      <c r="C318" s="2" t="s">
        <v>343</v>
      </c>
      <c r="E318" s="2" t="s">
        <v>178</v>
      </c>
      <c r="F318" s="2" t="s">
        <v>154</v>
      </c>
      <c r="G318" s="2" t="s">
        <v>75</v>
      </c>
      <c r="H318" s="6" t="s">
        <v>78</v>
      </c>
    </row>
    <row r="319" spans="2:12" ht="27" x14ac:dyDescent="0.25">
      <c r="B319" s="3" t="s">
        <v>466</v>
      </c>
      <c r="D319" s="2" t="s">
        <v>130</v>
      </c>
      <c r="E319" s="2" t="s">
        <v>172</v>
      </c>
      <c r="F319" s="2" t="s">
        <v>590</v>
      </c>
      <c r="G319" s="2" t="s">
        <v>50</v>
      </c>
      <c r="H319" s="3" t="s">
        <v>21</v>
      </c>
      <c r="K319" s="2" t="s">
        <v>562</v>
      </c>
    </row>
    <row r="320" spans="2:12" x14ac:dyDescent="0.25">
      <c r="E320" s="2" t="s">
        <v>173</v>
      </c>
      <c r="F320" s="2" t="s">
        <v>132</v>
      </c>
      <c r="G320" s="2" t="s">
        <v>133</v>
      </c>
      <c r="H320" s="5" t="s">
        <v>133</v>
      </c>
      <c r="I320" s="3" t="s">
        <v>344</v>
      </c>
      <c r="J320" s="2" t="s">
        <v>174</v>
      </c>
      <c r="L320" s="2" t="s">
        <v>345</v>
      </c>
    </row>
    <row r="321" spans="2:12" x14ac:dyDescent="0.25">
      <c r="E321" s="2" t="s">
        <v>135</v>
      </c>
      <c r="F321" s="2" t="s">
        <v>183</v>
      </c>
      <c r="G321" s="2" t="s">
        <v>133</v>
      </c>
      <c r="H321" s="5" t="s">
        <v>133</v>
      </c>
      <c r="I321" s="3" t="s">
        <v>554</v>
      </c>
      <c r="K321" s="2" t="s">
        <v>583</v>
      </c>
    </row>
    <row r="322" spans="2:12" x14ac:dyDescent="0.25">
      <c r="E322" s="2" t="s">
        <v>228</v>
      </c>
      <c r="F322" s="2" t="s">
        <v>591</v>
      </c>
      <c r="G322" s="2" t="s">
        <v>50</v>
      </c>
      <c r="H322" s="3" t="s">
        <v>21</v>
      </c>
      <c r="I322" s="3" t="str">
        <f>$B$275</f>
        <v>OMOP Surgery Episode</v>
      </c>
      <c r="K322" s="2" t="s">
        <v>562</v>
      </c>
    </row>
    <row r="323" spans="2:12" x14ac:dyDescent="0.25">
      <c r="E323" s="2" t="s">
        <v>229</v>
      </c>
      <c r="F323" s="2" t="s">
        <v>132</v>
      </c>
      <c r="G323" s="2" t="s">
        <v>133</v>
      </c>
      <c r="H323" s="5" t="s">
        <v>133</v>
      </c>
      <c r="I323" s="3" t="s">
        <v>268</v>
      </c>
      <c r="J323" s="2" t="s">
        <v>152</v>
      </c>
      <c r="L323" s="2" t="s">
        <v>269</v>
      </c>
    </row>
    <row r="324" spans="2:12" x14ac:dyDescent="0.25">
      <c r="C324" s="2" t="s">
        <v>346</v>
      </c>
      <c r="E324" s="2" t="s">
        <v>176</v>
      </c>
      <c r="F324" s="2" t="s">
        <v>151</v>
      </c>
      <c r="G324" s="2" t="s">
        <v>75</v>
      </c>
      <c r="H324" s="6" t="s">
        <v>83</v>
      </c>
      <c r="K324" s="2" t="s">
        <v>562</v>
      </c>
    </row>
    <row r="325" spans="2:12" x14ac:dyDescent="0.25">
      <c r="C325" s="2" t="s">
        <v>347</v>
      </c>
      <c r="E325" s="2" t="s">
        <v>178</v>
      </c>
      <c r="F325" s="2" t="s">
        <v>154</v>
      </c>
      <c r="G325" s="2" t="s">
        <v>75</v>
      </c>
      <c r="H325" s="6" t="s">
        <v>83</v>
      </c>
    </row>
    <row r="326" spans="2:12" ht="27" x14ac:dyDescent="0.25">
      <c r="B326" s="3" t="s">
        <v>467</v>
      </c>
      <c r="D326" s="2" t="s">
        <v>130</v>
      </c>
      <c r="E326" s="2" t="s">
        <v>172</v>
      </c>
      <c r="F326" s="2" t="s">
        <v>590</v>
      </c>
      <c r="G326" s="2" t="s">
        <v>50</v>
      </c>
      <c r="H326" s="3" t="s">
        <v>21</v>
      </c>
      <c r="K326" s="2" t="s">
        <v>562</v>
      </c>
    </row>
    <row r="327" spans="2:12" x14ac:dyDescent="0.25">
      <c r="E327" s="2" t="s">
        <v>173</v>
      </c>
      <c r="F327" s="2" t="s">
        <v>132</v>
      </c>
      <c r="G327" s="2" t="s">
        <v>133</v>
      </c>
      <c r="H327" s="5" t="s">
        <v>133</v>
      </c>
      <c r="I327" s="3" t="s">
        <v>348</v>
      </c>
      <c r="J327" s="2" t="s">
        <v>174</v>
      </c>
      <c r="L327" s="2" t="s">
        <v>349</v>
      </c>
    </row>
    <row r="328" spans="2:12" x14ac:dyDescent="0.25">
      <c r="E328" s="2" t="s">
        <v>135</v>
      </c>
      <c r="F328" s="2" t="s">
        <v>183</v>
      </c>
      <c r="G328" s="2" t="s">
        <v>133</v>
      </c>
      <c r="H328" s="5" t="s">
        <v>133</v>
      </c>
      <c r="I328" s="3" t="s">
        <v>554</v>
      </c>
      <c r="K328" s="2" t="s">
        <v>583</v>
      </c>
    </row>
    <row r="329" spans="2:12" x14ac:dyDescent="0.25">
      <c r="E329" s="2" t="s">
        <v>228</v>
      </c>
      <c r="F329" s="2" t="s">
        <v>591</v>
      </c>
      <c r="G329" s="2" t="s">
        <v>50</v>
      </c>
      <c r="H329" s="3" t="s">
        <v>21</v>
      </c>
      <c r="I329" s="3" t="str">
        <f>$B$275</f>
        <v>OMOP Surgery Episode</v>
      </c>
      <c r="K329" s="2" t="s">
        <v>562</v>
      </c>
    </row>
    <row r="330" spans="2:12" x14ac:dyDescent="0.25">
      <c r="E330" s="2" t="s">
        <v>229</v>
      </c>
      <c r="F330" s="2" t="s">
        <v>132</v>
      </c>
      <c r="G330" s="2" t="s">
        <v>133</v>
      </c>
      <c r="H330" s="5" t="s">
        <v>133</v>
      </c>
      <c r="I330" s="3" t="s">
        <v>268</v>
      </c>
      <c r="J330" s="2" t="s">
        <v>152</v>
      </c>
      <c r="L330" s="2" t="s">
        <v>269</v>
      </c>
    </row>
    <row r="331" spans="2:12" x14ac:dyDescent="0.25">
      <c r="C331" s="2" t="s">
        <v>350</v>
      </c>
      <c r="E331" s="2" t="s">
        <v>176</v>
      </c>
      <c r="F331" s="2" t="s">
        <v>151</v>
      </c>
      <c r="G331" s="2" t="s">
        <v>75</v>
      </c>
      <c r="H331" s="6" t="s">
        <v>79</v>
      </c>
      <c r="K331" s="2" t="s">
        <v>562</v>
      </c>
    </row>
    <row r="332" spans="2:12" x14ac:dyDescent="0.25">
      <c r="C332" s="2" t="s">
        <v>351</v>
      </c>
      <c r="E332" s="2" t="s">
        <v>178</v>
      </c>
      <c r="F332" s="2" t="s">
        <v>154</v>
      </c>
      <c r="G332" s="2" t="s">
        <v>75</v>
      </c>
      <c r="H332" s="6" t="s">
        <v>79</v>
      </c>
    </row>
    <row r="333" spans="2:12" ht="40.5" x14ac:dyDescent="0.25">
      <c r="B333" s="3" t="s">
        <v>468</v>
      </c>
      <c r="D333" s="2" t="s">
        <v>130</v>
      </c>
      <c r="E333" s="2" t="s">
        <v>172</v>
      </c>
      <c r="F333" s="2" t="s">
        <v>590</v>
      </c>
      <c r="G333" s="2" t="s">
        <v>50</v>
      </c>
      <c r="H333" s="3" t="s">
        <v>21</v>
      </c>
      <c r="K333" s="2" t="s">
        <v>562</v>
      </c>
    </row>
    <row r="334" spans="2:12" x14ac:dyDescent="0.25">
      <c r="E334" s="2" t="s">
        <v>173</v>
      </c>
      <c r="F334" s="2" t="s">
        <v>132</v>
      </c>
      <c r="G334" s="2" t="s">
        <v>133</v>
      </c>
      <c r="H334" s="5" t="s">
        <v>133</v>
      </c>
      <c r="I334" s="3" t="s">
        <v>352</v>
      </c>
      <c r="J334" s="2" t="s">
        <v>174</v>
      </c>
      <c r="L334" s="2" t="s">
        <v>353</v>
      </c>
    </row>
    <row r="335" spans="2:12" x14ac:dyDescent="0.25">
      <c r="E335" s="2" t="s">
        <v>135</v>
      </c>
      <c r="F335" s="2" t="s">
        <v>183</v>
      </c>
      <c r="G335" s="2" t="s">
        <v>133</v>
      </c>
      <c r="H335" s="5" t="s">
        <v>133</v>
      </c>
      <c r="I335" s="3" t="s">
        <v>554</v>
      </c>
      <c r="K335" s="2" t="s">
        <v>583</v>
      </c>
    </row>
    <row r="336" spans="2:12" x14ac:dyDescent="0.25">
      <c r="E336" s="2" t="s">
        <v>228</v>
      </c>
      <c r="F336" s="2" t="s">
        <v>591</v>
      </c>
      <c r="G336" s="2" t="s">
        <v>50</v>
      </c>
      <c r="H336" s="3" t="s">
        <v>21</v>
      </c>
      <c r="I336" s="3" t="str">
        <f>$B$275</f>
        <v>OMOP Surgery Episode</v>
      </c>
      <c r="K336" s="2" t="s">
        <v>562</v>
      </c>
    </row>
    <row r="337" spans="2:12" x14ac:dyDescent="0.25">
      <c r="E337" s="2" t="s">
        <v>229</v>
      </c>
      <c r="F337" s="2" t="s">
        <v>132</v>
      </c>
      <c r="G337" s="2" t="s">
        <v>133</v>
      </c>
      <c r="H337" s="5" t="s">
        <v>133</v>
      </c>
      <c r="I337" s="3" t="s">
        <v>268</v>
      </c>
      <c r="J337" s="2" t="s">
        <v>152</v>
      </c>
      <c r="L337" s="2" t="s">
        <v>269</v>
      </c>
    </row>
    <row r="338" spans="2:12" x14ac:dyDescent="0.25">
      <c r="C338" s="2" t="s">
        <v>354</v>
      </c>
      <c r="E338" s="2" t="s">
        <v>176</v>
      </c>
      <c r="F338" s="2" t="s">
        <v>151</v>
      </c>
      <c r="G338" s="2" t="s">
        <v>75</v>
      </c>
      <c r="H338" s="6" t="s">
        <v>84</v>
      </c>
      <c r="K338" s="2" t="s">
        <v>562</v>
      </c>
    </row>
    <row r="339" spans="2:12" x14ac:dyDescent="0.25">
      <c r="C339" s="2" t="s">
        <v>355</v>
      </c>
      <c r="E339" s="2" t="s">
        <v>178</v>
      </c>
      <c r="F339" s="2" t="s">
        <v>154</v>
      </c>
      <c r="G339" s="2" t="s">
        <v>75</v>
      </c>
      <c r="H339" s="6" t="s">
        <v>84</v>
      </c>
    </row>
    <row r="340" spans="2:12" ht="40.5" x14ac:dyDescent="0.25">
      <c r="B340" s="3" t="s">
        <v>472</v>
      </c>
      <c r="D340" s="2" t="s">
        <v>130</v>
      </c>
      <c r="E340" s="2" t="s">
        <v>172</v>
      </c>
      <c r="F340" s="2" t="s">
        <v>590</v>
      </c>
      <c r="G340" s="2" t="s">
        <v>50</v>
      </c>
      <c r="H340" s="3" t="s">
        <v>21</v>
      </c>
      <c r="K340" s="2" t="s">
        <v>562</v>
      </c>
    </row>
    <row r="341" spans="2:12" x14ac:dyDescent="0.25">
      <c r="E341" s="2" t="s">
        <v>173</v>
      </c>
      <c r="F341" s="2" t="s">
        <v>132</v>
      </c>
      <c r="G341" s="2" t="s">
        <v>133</v>
      </c>
      <c r="H341" s="5" t="s">
        <v>133</v>
      </c>
      <c r="I341" s="3" t="s">
        <v>370</v>
      </c>
      <c r="J341" s="2" t="s">
        <v>174</v>
      </c>
      <c r="L341" s="2" t="s">
        <v>371</v>
      </c>
    </row>
    <row r="342" spans="2:12" x14ac:dyDescent="0.25">
      <c r="E342" s="2" t="s">
        <v>135</v>
      </c>
      <c r="F342" s="2" t="s">
        <v>183</v>
      </c>
      <c r="G342" s="2" t="s">
        <v>133</v>
      </c>
      <c r="H342" s="5" t="s">
        <v>133</v>
      </c>
      <c r="I342" s="3" t="s">
        <v>554</v>
      </c>
      <c r="K342" s="2" t="s">
        <v>583</v>
      </c>
    </row>
    <row r="343" spans="2:12" x14ac:dyDescent="0.25">
      <c r="E343" s="2" t="s">
        <v>228</v>
      </c>
      <c r="F343" s="2" t="s">
        <v>591</v>
      </c>
      <c r="G343" s="2" t="s">
        <v>50</v>
      </c>
      <c r="H343" s="3" t="s">
        <v>21</v>
      </c>
      <c r="I343" s="3" t="str">
        <f>$B$275</f>
        <v>OMOP Surgery Episode</v>
      </c>
      <c r="K343" s="2" t="s">
        <v>562</v>
      </c>
    </row>
    <row r="344" spans="2:12" x14ac:dyDescent="0.25">
      <c r="E344" s="2" t="s">
        <v>229</v>
      </c>
      <c r="F344" s="2" t="s">
        <v>132</v>
      </c>
      <c r="G344" s="2" t="s">
        <v>133</v>
      </c>
      <c r="H344" s="5" t="s">
        <v>133</v>
      </c>
      <c r="I344" s="3" t="s">
        <v>268</v>
      </c>
      <c r="J344" s="2" t="s">
        <v>152</v>
      </c>
      <c r="L344" s="2" t="s">
        <v>269</v>
      </c>
    </row>
    <row r="345" spans="2:12" x14ac:dyDescent="0.25">
      <c r="C345" s="2" t="s">
        <v>372</v>
      </c>
      <c r="E345" s="2" t="s">
        <v>176</v>
      </c>
      <c r="F345" s="2" t="s">
        <v>151</v>
      </c>
      <c r="G345" s="2" t="s">
        <v>75</v>
      </c>
      <c r="H345" s="6" t="s">
        <v>88</v>
      </c>
      <c r="K345" s="2" t="s">
        <v>562</v>
      </c>
    </row>
    <row r="346" spans="2:12" x14ac:dyDescent="0.25">
      <c r="C346" s="2" t="s">
        <v>373</v>
      </c>
      <c r="E346" s="2" t="s">
        <v>178</v>
      </c>
      <c r="F346" s="2" t="s">
        <v>154</v>
      </c>
      <c r="G346" s="2" t="s">
        <v>75</v>
      </c>
      <c r="H346" s="6" t="s">
        <v>88</v>
      </c>
    </row>
    <row r="347" spans="2:12" ht="40.5" x14ac:dyDescent="0.25">
      <c r="B347" s="3" t="s">
        <v>473</v>
      </c>
      <c r="D347" s="2" t="s">
        <v>130</v>
      </c>
      <c r="E347" s="2" t="s">
        <v>172</v>
      </c>
      <c r="F347" s="2" t="s">
        <v>590</v>
      </c>
      <c r="G347" s="2" t="s">
        <v>50</v>
      </c>
      <c r="H347" s="3" t="s">
        <v>21</v>
      </c>
      <c r="K347" s="2" t="s">
        <v>562</v>
      </c>
    </row>
    <row r="348" spans="2:12" x14ac:dyDescent="0.25">
      <c r="E348" s="2" t="s">
        <v>173</v>
      </c>
      <c r="F348" s="2" t="s">
        <v>132</v>
      </c>
      <c r="G348" s="2" t="s">
        <v>133</v>
      </c>
      <c r="H348" s="5" t="s">
        <v>133</v>
      </c>
      <c r="I348" s="3" t="s">
        <v>374</v>
      </c>
      <c r="J348" s="2" t="s">
        <v>174</v>
      </c>
      <c r="L348" s="2" t="s">
        <v>375</v>
      </c>
    </row>
    <row r="349" spans="2:12" x14ac:dyDescent="0.25">
      <c r="E349" s="2" t="s">
        <v>135</v>
      </c>
      <c r="F349" s="2" t="s">
        <v>183</v>
      </c>
      <c r="G349" s="2" t="s">
        <v>133</v>
      </c>
      <c r="H349" s="5" t="s">
        <v>133</v>
      </c>
      <c r="I349" s="3" t="s">
        <v>554</v>
      </c>
      <c r="K349" s="2" t="s">
        <v>583</v>
      </c>
    </row>
    <row r="350" spans="2:12" x14ac:dyDescent="0.25">
      <c r="E350" s="2" t="s">
        <v>228</v>
      </c>
      <c r="F350" s="2" t="s">
        <v>591</v>
      </c>
      <c r="G350" s="2" t="s">
        <v>50</v>
      </c>
      <c r="H350" s="3" t="s">
        <v>21</v>
      </c>
      <c r="I350" s="3" t="str">
        <f>$B$275</f>
        <v>OMOP Surgery Episode</v>
      </c>
      <c r="K350" s="2" t="s">
        <v>562</v>
      </c>
    </row>
    <row r="351" spans="2:12" x14ac:dyDescent="0.25">
      <c r="E351" s="2" t="s">
        <v>229</v>
      </c>
      <c r="F351" s="2" t="s">
        <v>132</v>
      </c>
      <c r="G351" s="2" t="s">
        <v>133</v>
      </c>
      <c r="H351" s="5" t="s">
        <v>133</v>
      </c>
      <c r="I351" s="3" t="s">
        <v>268</v>
      </c>
      <c r="J351" s="2" t="s">
        <v>152</v>
      </c>
      <c r="L351" s="2" t="s">
        <v>269</v>
      </c>
    </row>
    <row r="352" spans="2:12" x14ac:dyDescent="0.25">
      <c r="C352" s="2" t="s">
        <v>376</v>
      </c>
      <c r="E352" s="2" t="s">
        <v>176</v>
      </c>
      <c r="F352" s="2" t="s">
        <v>151</v>
      </c>
      <c r="G352" s="2" t="s">
        <v>75</v>
      </c>
      <c r="H352" s="6" t="s">
        <v>89</v>
      </c>
      <c r="K352" s="2" t="s">
        <v>562</v>
      </c>
    </row>
    <row r="353" spans="2:12" x14ac:dyDescent="0.25">
      <c r="C353" s="2" t="s">
        <v>377</v>
      </c>
      <c r="E353" s="2" t="s">
        <v>178</v>
      </c>
      <c r="F353" s="2" t="s">
        <v>154</v>
      </c>
      <c r="G353" s="2" t="s">
        <v>75</v>
      </c>
      <c r="H353" s="6" t="s">
        <v>89</v>
      </c>
    </row>
    <row r="354" spans="2:12" ht="40.5" x14ac:dyDescent="0.25">
      <c r="B354" s="3" t="s">
        <v>469</v>
      </c>
      <c r="D354" s="2" t="s">
        <v>130</v>
      </c>
      <c r="E354" s="2" t="s">
        <v>172</v>
      </c>
      <c r="F354" s="2" t="s">
        <v>590</v>
      </c>
      <c r="G354" s="2" t="s">
        <v>50</v>
      </c>
      <c r="H354" s="3" t="s">
        <v>21</v>
      </c>
      <c r="K354" s="2" t="s">
        <v>562</v>
      </c>
    </row>
    <row r="355" spans="2:12" x14ac:dyDescent="0.25">
      <c r="E355" s="2" t="s">
        <v>173</v>
      </c>
      <c r="F355" s="2" t="s">
        <v>132</v>
      </c>
      <c r="G355" s="2" t="s">
        <v>133</v>
      </c>
      <c r="H355" s="5" t="s">
        <v>133</v>
      </c>
      <c r="I355" s="3" t="s">
        <v>356</v>
      </c>
      <c r="J355" s="2" t="s">
        <v>174</v>
      </c>
      <c r="L355" s="2" t="s">
        <v>357</v>
      </c>
    </row>
    <row r="356" spans="2:12" x14ac:dyDescent="0.25">
      <c r="E356" s="2" t="s">
        <v>135</v>
      </c>
      <c r="F356" s="2" t="s">
        <v>183</v>
      </c>
      <c r="G356" s="2" t="s">
        <v>133</v>
      </c>
      <c r="H356" s="5" t="s">
        <v>133</v>
      </c>
      <c r="I356" s="3" t="s">
        <v>554</v>
      </c>
      <c r="K356" s="2" t="s">
        <v>583</v>
      </c>
    </row>
    <row r="357" spans="2:12" x14ac:dyDescent="0.25">
      <c r="E357" s="2" t="s">
        <v>228</v>
      </c>
      <c r="F357" s="2" t="s">
        <v>591</v>
      </c>
      <c r="G357" s="2" t="s">
        <v>50</v>
      </c>
      <c r="H357" s="3" t="s">
        <v>21</v>
      </c>
      <c r="I357" s="3" t="str">
        <f>$B$275</f>
        <v>OMOP Surgery Episode</v>
      </c>
      <c r="K357" s="2" t="s">
        <v>562</v>
      </c>
    </row>
    <row r="358" spans="2:12" x14ac:dyDescent="0.25">
      <c r="E358" s="2" t="s">
        <v>229</v>
      </c>
      <c r="F358" s="2" t="s">
        <v>132</v>
      </c>
      <c r="G358" s="2" t="s">
        <v>133</v>
      </c>
      <c r="H358" s="5" t="s">
        <v>133</v>
      </c>
      <c r="I358" s="3" t="s">
        <v>268</v>
      </c>
      <c r="J358" s="2" t="s">
        <v>152</v>
      </c>
      <c r="L358" s="2" t="s">
        <v>269</v>
      </c>
    </row>
    <row r="359" spans="2:12" x14ac:dyDescent="0.25">
      <c r="C359" s="2" t="s">
        <v>358</v>
      </c>
      <c r="E359" s="2" t="s">
        <v>176</v>
      </c>
      <c r="F359" s="2" t="s">
        <v>132</v>
      </c>
      <c r="G359" s="2" t="s">
        <v>133</v>
      </c>
      <c r="H359" s="6" t="s">
        <v>133</v>
      </c>
      <c r="I359" s="3" t="s">
        <v>549</v>
      </c>
    </row>
    <row r="360" spans="2:12" x14ac:dyDescent="0.25">
      <c r="C360" s="2" t="s">
        <v>359</v>
      </c>
      <c r="E360" s="2" t="s">
        <v>178</v>
      </c>
      <c r="F360" s="2" t="s">
        <v>550</v>
      </c>
      <c r="G360" s="2" t="s">
        <v>75</v>
      </c>
      <c r="H360" s="6" t="s">
        <v>85</v>
      </c>
      <c r="K360" s="2" t="s">
        <v>562</v>
      </c>
    </row>
    <row r="361" spans="2:12" x14ac:dyDescent="0.25">
      <c r="E361" s="2" t="s">
        <v>275</v>
      </c>
      <c r="F361" s="2" t="s">
        <v>132</v>
      </c>
      <c r="G361" s="2" t="s">
        <v>133</v>
      </c>
      <c r="H361" s="6" t="s">
        <v>133</v>
      </c>
      <c r="I361" s="3" t="s">
        <v>360</v>
      </c>
      <c r="J361" s="2" t="s">
        <v>174</v>
      </c>
      <c r="L361" s="2" t="s">
        <v>361</v>
      </c>
    </row>
    <row r="362" spans="2:12" ht="40.5" x14ac:dyDescent="0.25">
      <c r="B362" s="3" t="s">
        <v>470</v>
      </c>
      <c r="D362" s="2" t="s">
        <v>130</v>
      </c>
      <c r="E362" s="2" t="s">
        <v>172</v>
      </c>
      <c r="F362" s="2" t="s">
        <v>590</v>
      </c>
      <c r="G362" s="2" t="s">
        <v>50</v>
      </c>
      <c r="H362" s="3" t="s">
        <v>21</v>
      </c>
      <c r="K362" s="2" t="s">
        <v>562</v>
      </c>
    </row>
    <row r="363" spans="2:12" x14ac:dyDescent="0.25">
      <c r="E363" s="2" t="s">
        <v>173</v>
      </c>
      <c r="F363" s="2" t="s">
        <v>132</v>
      </c>
      <c r="G363" s="2" t="s">
        <v>133</v>
      </c>
      <c r="H363" s="5" t="s">
        <v>133</v>
      </c>
      <c r="I363" s="3" t="s">
        <v>356</v>
      </c>
      <c r="J363" s="2" t="s">
        <v>174</v>
      </c>
      <c r="L363" s="2" t="s">
        <v>357</v>
      </c>
    </row>
    <row r="364" spans="2:12" x14ac:dyDescent="0.25">
      <c r="E364" s="2" t="s">
        <v>135</v>
      </c>
      <c r="F364" s="2" t="s">
        <v>183</v>
      </c>
      <c r="G364" s="2" t="s">
        <v>133</v>
      </c>
      <c r="H364" s="5" t="s">
        <v>133</v>
      </c>
      <c r="I364" s="3" t="s">
        <v>554</v>
      </c>
      <c r="K364" s="2" t="s">
        <v>583</v>
      </c>
    </row>
    <row r="365" spans="2:12" x14ac:dyDescent="0.25">
      <c r="E365" s="2" t="s">
        <v>228</v>
      </c>
      <c r="F365" s="2" t="s">
        <v>591</v>
      </c>
      <c r="G365" s="2" t="s">
        <v>50</v>
      </c>
      <c r="H365" s="3" t="s">
        <v>21</v>
      </c>
      <c r="I365" s="3" t="str">
        <f>$B$275</f>
        <v>OMOP Surgery Episode</v>
      </c>
      <c r="K365" s="2" t="s">
        <v>562</v>
      </c>
    </row>
    <row r="366" spans="2:12" x14ac:dyDescent="0.25">
      <c r="E366" s="2" t="s">
        <v>229</v>
      </c>
      <c r="F366" s="2" t="s">
        <v>132</v>
      </c>
      <c r="G366" s="2" t="s">
        <v>133</v>
      </c>
      <c r="H366" s="5" t="s">
        <v>133</v>
      </c>
      <c r="I366" s="3" t="s">
        <v>268</v>
      </c>
      <c r="J366" s="2" t="s">
        <v>152</v>
      </c>
      <c r="L366" s="2" t="s">
        <v>269</v>
      </c>
    </row>
    <row r="367" spans="2:12" x14ac:dyDescent="0.25">
      <c r="C367" s="2" t="s">
        <v>362</v>
      </c>
      <c r="E367" s="2" t="s">
        <v>176</v>
      </c>
      <c r="F367" s="2" t="s">
        <v>132</v>
      </c>
      <c r="G367" s="2" t="s">
        <v>133</v>
      </c>
      <c r="H367" s="6" t="s">
        <v>133</v>
      </c>
      <c r="I367" s="3" t="s">
        <v>549</v>
      </c>
    </row>
    <row r="368" spans="2:12" x14ac:dyDescent="0.25">
      <c r="C368" s="2" t="s">
        <v>363</v>
      </c>
      <c r="E368" s="2" t="s">
        <v>178</v>
      </c>
      <c r="F368" s="2" t="s">
        <v>550</v>
      </c>
      <c r="G368" s="2" t="s">
        <v>75</v>
      </c>
      <c r="H368" s="6" t="s">
        <v>86</v>
      </c>
      <c r="K368" s="2" t="s">
        <v>562</v>
      </c>
    </row>
    <row r="369" spans="1:12" x14ac:dyDescent="0.25">
      <c r="E369" s="2" t="s">
        <v>275</v>
      </c>
      <c r="F369" s="2" t="s">
        <v>132</v>
      </c>
      <c r="G369" s="2" t="s">
        <v>133</v>
      </c>
      <c r="H369" s="6" t="s">
        <v>133</v>
      </c>
      <c r="I369" s="3" t="s">
        <v>364</v>
      </c>
      <c r="J369" s="2" t="s">
        <v>174</v>
      </c>
      <c r="L369" s="2" t="s">
        <v>365</v>
      </c>
    </row>
    <row r="370" spans="1:12" ht="40.5" x14ac:dyDescent="0.25">
      <c r="B370" s="3" t="s">
        <v>471</v>
      </c>
      <c r="D370" s="2" t="s">
        <v>130</v>
      </c>
      <c r="E370" s="2" t="s">
        <v>172</v>
      </c>
      <c r="F370" s="2" t="s">
        <v>590</v>
      </c>
      <c r="G370" s="2" t="s">
        <v>50</v>
      </c>
      <c r="H370" s="3" t="s">
        <v>21</v>
      </c>
      <c r="K370" s="2" t="s">
        <v>562</v>
      </c>
    </row>
    <row r="371" spans="1:12" x14ac:dyDescent="0.25">
      <c r="E371" s="2" t="s">
        <v>173</v>
      </c>
      <c r="F371" s="2" t="s">
        <v>132</v>
      </c>
      <c r="G371" s="2" t="s">
        <v>133</v>
      </c>
      <c r="H371" s="5" t="s">
        <v>133</v>
      </c>
      <c r="I371" s="3" t="s">
        <v>356</v>
      </c>
      <c r="J371" s="2" t="s">
        <v>174</v>
      </c>
      <c r="L371" s="2" t="s">
        <v>357</v>
      </c>
    </row>
    <row r="372" spans="1:12" x14ac:dyDescent="0.25">
      <c r="E372" s="2" t="s">
        <v>135</v>
      </c>
      <c r="F372" s="2" t="s">
        <v>183</v>
      </c>
      <c r="G372" s="2" t="s">
        <v>133</v>
      </c>
      <c r="H372" s="5" t="s">
        <v>133</v>
      </c>
      <c r="I372" s="3" t="s">
        <v>554</v>
      </c>
      <c r="K372" s="2" t="s">
        <v>583</v>
      </c>
    </row>
    <row r="373" spans="1:12" x14ac:dyDescent="0.25">
      <c r="E373" s="2" t="s">
        <v>228</v>
      </c>
      <c r="F373" s="2" t="s">
        <v>591</v>
      </c>
      <c r="G373" s="2" t="s">
        <v>50</v>
      </c>
      <c r="H373" s="3" t="s">
        <v>21</v>
      </c>
      <c r="I373" s="3" t="str">
        <f>$B$275</f>
        <v>OMOP Surgery Episode</v>
      </c>
      <c r="K373" s="2" t="s">
        <v>562</v>
      </c>
    </row>
    <row r="374" spans="1:12" x14ac:dyDescent="0.25">
      <c r="E374" s="2" t="s">
        <v>229</v>
      </c>
      <c r="F374" s="2" t="s">
        <v>132</v>
      </c>
      <c r="G374" s="2" t="s">
        <v>133</v>
      </c>
      <c r="H374" s="5" t="s">
        <v>133</v>
      </c>
      <c r="I374" s="3" t="s">
        <v>268</v>
      </c>
      <c r="J374" s="2" t="s">
        <v>152</v>
      </c>
      <c r="L374" s="2" t="s">
        <v>269</v>
      </c>
    </row>
    <row r="375" spans="1:12" x14ac:dyDescent="0.25">
      <c r="C375" s="2" t="s">
        <v>366</v>
      </c>
      <c r="E375" s="2" t="s">
        <v>176</v>
      </c>
      <c r="F375" s="2" t="s">
        <v>132</v>
      </c>
      <c r="G375" s="2" t="s">
        <v>133</v>
      </c>
      <c r="H375" s="6" t="s">
        <v>133</v>
      </c>
      <c r="I375" s="3" t="s">
        <v>549</v>
      </c>
    </row>
    <row r="376" spans="1:12" x14ac:dyDescent="0.25">
      <c r="C376" s="2" t="s">
        <v>367</v>
      </c>
      <c r="E376" s="2" t="s">
        <v>178</v>
      </c>
      <c r="F376" s="2" t="s">
        <v>550</v>
      </c>
      <c r="G376" s="2" t="s">
        <v>75</v>
      </c>
      <c r="H376" s="6" t="s">
        <v>87</v>
      </c>
      <c r="K376" s="2" t="s">
        <v>562</v>
      </c>
    </row>
    <row r="377" spans="1:12" x14ac:dyDescent="0.25">
      <c r="E377" s="2" t="s">
        <v>275</v>
      </c>
      <c r="F377" s="2" t="s">
        <v>132</v>
      </c>
      <c r="G377" s="2" t="s">
        <v>133</v>
      </c>
      <c r="H377" s="6" t="s">
        <v>133</v>
      </c>
      <c r="I377" s="3" t="s">
        <v>368</v>
      </c>
      <c r="J377" s="2" t="s">
        <v>174</v>
      </c>
      <c r="L377" s="2" t="s">
        <v>369</v>
      </c>
    </row>
    <row r="378" spans="1:12" ht="27" x14ac:dyDescent="0.25">
      <c r="A378" s="5" t="s">
        <v>540</v>
      </c>
      <c r="B378" s="3" t="s">
        <v>474</v>
      </c>
      <c r="D378" s="2" t="s">
        <v>543</v>
      </c>
      <c r="E378" s="2" t="s">
        <v>551</v>
      </c>
      <c r="F378" s="2" t="s">
        <v>154</v>
      </c>
      <c r="G378" s="2" t="s">
        <v>19</v>
      </c>
      <c r="H378" s="5" t="s">
        <v>3</v>
      </c>
      <c r="K378" s="2" t="s">
        <v>562</v>
      </c>
    </row>
    <row r="379" spans="1:12" x14ac:dyDescent="0.25">
      <c r="A379" s="2"/>
      <c r="B379" s="2"/>
      <c r="D379" s="2" t="s">
        <v>138</v>
      </c>
      <c r="E379" s="2" t="s">
        <v>378</v>
      </c>
      <c r="F379" s="2" t="s">
        <v>153</v>
      </c>
      <c r="G379" s="2" t="s">
        <v>19</v>
      </c>
      <c r="H379" s="5" t="s">
        <v>3</v>
      </c>
    </row>
    <row r="380" spans="1:12" x14ac:dyDescent="0.25">
      <c r="A380" s="2"/>
      <c r="B380" s="2"/>
      <c r="E380" s="2" t="s">
        <v>596</v>
      </c>
      <c r="F380" s="2" t="s">
        <v>132</v>
      </c>
      <c r="G380" s="2" t="s">
        <v>133</v>
      </c>
      <c r="H380" s="5" t="s">
        <v>133</v>
      </c>
      <c r="I380" s="3" t="s">
        <v>597</v>
      </c>
      <c r="J380" s="2" t="s">
        <v>174</v>
      </c>
      <c r="L380" s="2" t="s">
        <v>598</v>
      </c>
    </row>
    <row r="381" spans="1:12" x14ac:dyDescent="0.25">
      <c r="C381" s="2" t="s">
        <v>379</v>
      </c>
      <c r="E381" s="2" t="s">
        <v>380</v>
      </c>
      <c r="F381" s="2" t="s">
        <v>183</v>
      </c>
      <c r="G381" s="2" t="s">
        <v>19</v>
      </c>
      <c r="H381" s="6" t="s">
        <v>22</v>
      </c>
      <c r="K381" s="2" t="s">
        <v>583</v>
      </c>
    </row>
    <row r="382" spans="1:12" x14ac:dyDescent="0.25">
      <c r="C382" s="2" t="s">
        <v>381</v>
      </c>
      <c r="E382" s="2" t="s">
        <v>382</v>
      </c>
      <c r="F382" s="2" t="s">
        <v>192</v>
      </c>
      <c r="G382" s="2" t="s">
        <v>19</v>
      </c>
      <c r="H382" s="6" t="s">
        <v>23</v>
      </c>
      <c r="J382" s="2" t="s">
        <v>531</v>
      </c>
    </row>
    <row r="383" spans="1:12" x14ac:dyDescent="0.25">
      <c r="C383" s="2" t="s">
        <v>383</v>
      </c>
      <c r="E383" s="2" t="s">
        <v>384</v>
      </c>
      <c r="F383" s="2" t="s">
        <v>154</v>
      </c>
      <c r="G383" s="2" t="s">
        <v>19</v>
      </c>
      <c r="H383" s="6" t="s">
        <v>23</v>
      </c>
    </row>
    <row r="384" spans="1:12" ht="27" x14ac:dyDescent="0.25">
      <c r="B384" s="3" t="s">
        <v>475</v>
      </c>
      <c r="D384" s="2" t="s">
        <v>130</v>
      </c>
      <c r="E384" s="2" t="s">
        <v>172</v>
      </c>
      <c r="F384" s="2" t="s">
        <v>153</v>
      </c>
      <c r="G384" s="2" t="s">
        <v>19</v>
      </c>
      <c r="H384" s="5" t="s">
        <v>3</v>
      </c>
      <c r="K384" s="2" t="s">
        <v>562</v>
      </c>
    </row>
    <row r="385" spans="2:12" x14ac:dyDescent="0.25">
      <c r="E385" s="2" t="s">
        <v>173</v>
      </c>
      <c r="F385" s="2" t="s">
        <v>132</v>
      </c>
      <c r="G385" s="2" t="s">
        <v>133</v>
      </c>
      <c r="H385" s="5" t="s">
        <v>133</v>
      </c>
      <c r="I385" s="3" t="s">
        <v>385</v>
      </c>
      <c r="J385" s="2" t="s">
        <v>174</v>
      </c>
      <c r="L385" s="2" t="s">
        <v>386</v>
      </c>
    </row>
    <row r="386" spans="2:12" x14ac:dyDescent="0.25">
      <c r="E386" s="2" t="s">
        <v>135</v>
      </c>
      <c r="F386" s="2" t="s">
        <v>183</v>
      </c>
      <c r="G386" s="2" t="s">
        <v>19</v>
      </c>
      <c r="H386" s="6" t="s">
        <v>22</v>
      </c>
      <c r="K386" s="2" t="s">
        <v>583</v>
      </c>
    </row>
    <row r="387" spans="2:12" x14ac:dyDescent="0.25">
      <c r="E387" s="2" t="s">
        <v>228</v>
      </c>
      <c r="F387" s="2" t="s">
        <v>148</v>
      </c>
      <c r="G387" s="2" t="s">
        <v>19</v>
      </c>
      <c r="H387" s="5" t="s">
        <v>3</v>
      </c>
      <c r="I387" s="3" t="str">
        <f>$B$378</f>
        <v>OMOP Specimen</v>
      </c>
      <c r="K387" s="2" t="s">
        <v>562</v>
      </c>
    </row>
    <row r="388" spans="2:12" x14ac:dyDescent="0.25">
      <c r="E388" s="2" t="s">
        <v>229</v>
      </c>
      <c r="F388" s="2" t="s">
        <v>132</v>
      </c>
      <c r="G388" s="2" t="s">
        <v>133</v>
      </c>
      <c r="H388" s="5" t="s">
        <v>133</v>
      </c>
      <c r="I388" s="3" t="s">
        <v>389</v>
      </c>
      <c r="J388" s="2" t="s">
        <v>152</v>
      </c>
      <c r="L388" s="2" t="s">
        <v>390</v>
      </c>
    </row>
    <row r="389" spans="2:12" x14ac:dyDescent="0.25">
      <c r="C389" s="2" t="s">
        <v>387</v>
      </c>
      <c r="E389" s="2" t="s">
        <v>176</v>
      </c>
      <c r="F389" s="2" t="s">
        <v>192</v>
      </c>
      <c r="G389" s="2" t="s">
        <v>19</v>
      </c>
      <c r="H389" s="6" t="s">
        <v>25</v>
      </c>
      <c r="J389" s="2" t="s">
        <v>531</v>
      </c>
      <c r="K389" s="2" t="s">
        <v>562</v>
      </c>
    </row>
    <row r="390" spans="2:12" x14ac:dyDescent="0.25">
      <c r="C390" s="2" t="s">
        <v>388</v>
      </c>
      <c r="E390" s="2" t="s">
        <v>178</v>
      </c>
      <c r="F390" s="2" t="s">
        <v>154</v>
      </c>
      <c r="G390" s="2" t="s">
        <v>19</v>
      </c>
      <c r="H390" s="6" t="s">
        <v>25</v>
      </c>
    </row>
    <row r="391" spans="2:12" ht="27" x14ac:dyDescent="0.25">
      <c r="B391" s="3" t="s">
        <v>476</v>
      </c>
      <c r="D391" s="2" t="s">
        <v>130</v>
      </c>
      <c r="E391" s="2" t="s">
        <v>172</v>
      </c>
      <c r="F391" s="2" t="s">
        <v>153</v>
      </c>
      <c r="G391" s="2" t="s">
        <v>19</v>
      </c>
      <c r="H391" s="5" t="s">
        <v>3</v>
      </c>
      <c r="K391" s="2" t="s">
        <v>562</v>
      </c>
    </row>
    <row r="392" spans="2:12" x14ac:dyDescent="0.25">
      <c r="E392" s="2" t="s">
        <v>173</v>
      </c>
      <c r="F392" s="2" t="s">
        <v>132</v>
      </c>
      <c r="G392" s="2" t="s">
        <v>133</v>
      </c>
      <c r="H392" s="5" t="s">
        <v>133</v>
      </c>
      <c r="I392" s="3" t="s">
        <v>599</v>
      </c>
      <c r="J392" s="2" t="s">
        <v>174</v>
      </c>
      <c r="L392" s="2" t="s">
        <v>391</v>
      </c>
    </row>
    <row r="393" spans="2:12" x14ac:dyDescent="0.25">
      <c r="E393" s="2" t="s">
        <v>135</v>
      </c>
      <c r="F393" s="2" t="s">
        <v>183</v>
      </c>
      <c r="G393" s="2" t="s">
        <v>19</v>
      </c>
      <c r="H393" s="6" t="s">
        <v>22</v>
      </c>
      <c r="K393" s="2" t="s">
        <v>583</v>
      </c>
    </row>
    <row r="394" spans="2:12" x14ac:dyDescent="0.25">
      <c r="E394" s="2" t="s">
        <v>228</v>
      </c>
      <c r="F394" s="2" t="s">
        <v>148</v>
      </c>
      <c r="G394" s="2" t="s">
        <v>19</v>
      </c>
      <c r="H394" s="5" t="s">
        <v>3</v>
      </c>
      <c r="I394" s="3" t="str">
        <f>$B$378</f>
        <v>OMOP Specimen</v>
      </c>
      <c r="K394" s="2" t="s">
        <v>562</v>
      </c>
    </row>
    <row r="395" spans="2:12" x14ac:dyDescent="0.25">
      <c r="E395" s="2" t="s">
        <v>229</v>
      </c>
      <c r="F395" s="2" t="s">
        <v>132</v>
      </c>
      <c r="G395" s="2" t="s">
        <v>133</v>
      </c>
      <c r="H395" s="5" t="s">
        <v>133</v>
      </c>
      <c r="I395" s="3" t="s">
        <v>389</v>
      </c>
      <c r="J395" s="2" t="s">
        <v>152</v>
      </c>
      <c r="L395" s="2" t="s">
        <v>390</v>
      </c>
    </row>
    <row r="396" spans="2:12" x14ac:dyDescent="0.25">
      <c r="C396" s="2" t="s">
        <v>392</v>
      </c>
      <c r="E396" s="2" t="s">
        <v>176</v>
      </c>
      <c r="F396" s="2" t="s">
        <v>151</v>
      </c>
      <c r="G396" s="2" t="s">
        <v>19</v>
      </c>
      <c r="H396" s="6" t="s">
        <v>29</v>
      </c>
      <c r="K396" s="2" t="s">
        <v>584</v>
      </c>
    </row>
    <row r="397" spans="2:12" x14ac:dyDescent="0.25">
      <c r="C397" s="2" t="s">
        <v>392</v>
      </c>
      <c r="E397" s="2" t="s">
        <v>178</v>
      </c>
      <c r="F397" s="2" t="s">
        <v>154</v>
      </c>
      <c r="G397" s="2" t="s">
        <v>19</v>
      </c>
      <c r="H397" s="6" t="s">
        <v>29</v>
      </c>
    </row>
    <row r="398" spans="2:12" x14ac:dyDescent="0.25">
      <c r="C398" s="2" t="s">
        <v>393</v>
      </c>
      <c r="E398" s="2" t="s">
        <v>275</v>
      </c>
      <c r="F398" s="2" t="s">
        <v>151</v>
      </c>
      <c r="G398" s="2" t="s">
        <v>19</v>
      </c>
      <c r="H398" s="6" t="s">
        <v>28</v>
      </c>
    </row>
    <row r="399" spans="2:12" x14ac:dyDescent="0.25">
      <c r="C399" s="2" t="s">
        <v>393</v>
      </c>
      <c r="E399" s="2" t="s">
        <v>277</v>
      </c>
      <c r="F399" s="2" t="s">
        <v>154</v>
      </c>
      <c r="G399" s="2" t="s">
        <v>19</v>
      </c>
      <c r="H399" s="6" t="s">
        <v>28</v>
      </c>
    </row>
    <row r="400" spans="2:12" ht="27" x14ac:dyDescent="0.25">
      <c r="B400" s="3" t="s">
        <v>477</v>
      </c>
      <c r="D400" s="2" t="s">
        <v>130</v>
      </c>
      <c r="E400" s="2" t="s">
        <v>172</v>
      </c>
      <c r="F400" s="2" t="s">
        <v>153</v>
      </c>
      <c r="G400" s="2" t="s">
        <v>19</v>
      </c>
      <c r="H400" s="5" t="s">
        <v>3</v>
      </c>
      <c r="K400" s="2" t="s">
        <v>562</v>
      </c>
    </row>
    <row r="401" spans="2:12" x14ac:dyDescent="0.25">
      <c r="E401" s="2" t="s">
        <v>173</v>
      </c>
      <c r="F401" s="2" t="s">
        <v>132</v>
      </c>
      <c r="G401" s="2" t="s">
        <v>133</v>
      </c>
      <c r="H401" s="5" t="s">
        <v>133</v>
      </c>
      <c r="I401" s="3" t="s">
        <v>394</v>
      </c>
      <c r="J401" s="2" t="s">
        <v>174</v>
      </c>
      <c r="L401" s="2" t="s">
        <v>395</v>
      </c>
    </row>
    <row r="402" spans="2:12" x14ac:dyDescent="0.25">
      <c r="E402" s="2" t="s">
        <v>135</v>
      </c>
      <c r="F402" s="2" t="s">
        <v>183</v>
      </c>
      <c r="G402" s="2" t="s">
        <v>19</v>
      </c>
      <c r="H402" s="6" t="s">
        <v>22</v>
      </c>
      <c r="K402" s="2" t="s">
        <v>583</v>
      </c>
    </row>
    <row r="403" spans="2:12" x14ac:dyDescent="0.25">
      <c r="E403" s="2" t="s">
        <v>228</v>
      </c>
      <c r="F403" s="2" t="s">
        <v>148</v>
      </c>
      <c r="G403" s="2" t="s">
        <v>19</v>
      </c>
      <c r="H403" s="5" t="s">
        <v>3</v>
      </c>
      <c r="I403" s="3" t="str">
        <f>$B$378</f>
        <v>OMOP Specimen</v>
      </c>
      <c r="K403" s="2" t="s">
        <v>562</v>
      </c>
    </row>
    <row r="404" spans="2:12" x14ac:dyDescent="0.25">
      <c r="E404" s="2" t="s">
        <v>229</v>
      </c>
      <c r="F404" s="2" t="s">
        <v>132</v>
      </c>
      <c r="G404" s="2" t="s">
        <v>133</v>
      </c>
      <c r="H404" s="5" t="s">
        <v>133</v>
      </c>
      <c r="I404" s="3" t="s">
        <v>389</v>
      </c>
      <c r="J404" s="2" t="s">
        <v>152</v>
      </c>
      <c r="L404" s="2" t="s">
        <v>390</v>
      </c>
    </row>
    <row r="405" spans="2:12" x14ac:dyDescent="0.25">
      <c r="C405" s="2" t="s">
        <v>396</v>
      </c>
      <c r="E405" s="2" t="s">
        <v>176</v>
      </c>
      <c r="F405" s="2" t="s">
        <v>151</v>
      </c>
      <c r="G405" s="2" t="s">
        <v>19</v>
      </c>
      <c r="H405" s="6" t="s">
        <v>24</v>
      </c>
      <c r="K405" s="2" t="s">
        <v>562</v>
      </c>
    </row>
    <row r="406" spans="2:12" x14ac:dyDescent="0.25">
      <c r="C406" s="2" t="s">
        <v>397</v>
      </c>
      <c r="E406" s="2" t="s">
        <v>178</v>
      </c>
      <c r="F406" s="2" t="s">
        <v>154</v>
      </c>
      <c r="G406" s="2" t="s">
        <v>19</v>
      </c>
      <c r="H406" s="6" t="s">
        <v>24</v>
      </c>
    </row>
    <row r="407" spans="2:12" ht="27" x14ac:dyDescent="0.25">
      <c r="B407" s="3" t="s">
        <v>496</v>
      </c>
      <c r="D407" s="2" t="s">
        <v>130</v>
      </c>
      <c r="E407" s="2" t="s">
        <v>172</v>
      </c>
      <c r="F407" s="2" t="s">
        <v>153</v>
      </c>
      <c r="G407" s="2" t="s">
        <v>19</v>
      </c>
      <c r="H407" s="5" t="s">
        <v>3</v>
      </c>
      <c r="K407" s="2" t="s">
        <v>562</v>
      </c>
    </row>
    <row r="408" spans="2:12" x14ac:dyDescent="0.25">
      <c r="E408" s="2" t="s">
        <v>173</v>
      </c>
      <c r="F408" s="2" t="s">
        <v>132</v>
      </c>
      <c r="G408" s="2" t="s">
        <v>133</v>
      </c>
      <c r="H408" s="5" t="s">
        <v>133</v>
      </c>
      <c r="I408" s="3" t="s">
        <v>398</v>
      </c>
      <c r="J408" s="2" t="s">
        <v>174</v>
      </c>
      <c r="L408" s="2" t="s">
        <v>399</v>
      </c>
    </row>
    <row r="409" spans="2:12" x14ac:dyDescent="0.25">
      <c r="E409" s="2" t="s">
        <v>135</v>
      </c>
      <c r="F409" s="2" t="s">
        <v>183</v>
      </c>
      <c r="G409" s="2" t="s">
        <v>19</v>
      </c>
      <c r="H409" s="6" t="s">
        <v>22</v>
      </c>
      <c r="K409" s="2" t="s">
        <v>583</v>
      </c>
    </row>
    <row r="410" spans="2:12" x14ac:dyDescent="0.25">
      <c r="E410" s="2" t="s">
        <v>228</v>
      </c>
      <c r="F410" s="2" t="s">
        <v>148</v>
      </c>
      <c r="G410" s="2" t="s">
        <v>19</v>
      </c>
      <c r="H410" s="5" t="s">
        <v>3</v>
      </c>
      <c r="I410" s="3" t="str">
        <f>$B$378</f>
        <v>OMOP Specimen</v>
      </c>
      <c r="K410" s="2" t="s">
        <v>562</v>
      </c>
    </row>
    <row r="411" spans="2:12" x14ac:dyDescent="0.25">
      <c r="E411" s="2" t="s">
        <v>229</v>
      </c>
      <c r="F411" s="2" t="s">
        <v>132</v>
      </c>
      <c r="G411" s="2" t="s">
        <v>133</v>
      </c>
      <c r="H411" s="5" t="s">
        <v>133</v>
      </c>
      <c r="I411" s="3" t="s">
        <v>389</v>
      </c>
      <c r="J411" s="2" t="s">
        <v>152</v>
      </c>
      <c r="L411" s="2" t="s">
        <v>390</v>
      </c>
    </row>
    <row r="412" spans="2:12" x14ac:dyDescent="0.25">
      <c r="C412" s="2" t="s">
        <v>400</v>
      </c>
      <c r="E412" s="2" t="s">
        <v>176</v>
      </c>
      <c r="F412" s="2" t="s">
        <v>151</v>
      </c>
      <c r="G412" s="2" t="s">
        <v>19</v>
      </c>
      <c r="H412" s="6" t="s">
        <v>33</v>
      </c>
      <c r="K412" s="2" t="s">
        <v>562</v>
      </c>
    </row>
    <row r="413" spans="2:12" x14ac:dyDescent="0.25">
      <c r="C413" s="2" t="s">
        <v>400</v>
      </c>
      <c r="E413" s="2" t="s">
        <v>178</v>
      </c>
      <c r="F413" s="2" t="s">
        <v>154</v>
      </c>
      <c r="G413" s="2" t="s">
        <v>19</v>
      </c>
      <c r="H413" s="6" t="s">
        <v>33</v>
      </c>
    </row>
    <row r="414" spans="2:12" ht="27" x14ac:dyDescent="0.25">
      <c r="B414" s="3" t="s">
        <v>495</v>
      </c>
      <c r="D414" s="2" t="s">
        <v>130</v>
      </c>
      <c r="E414" s="2" t="s">
        <v>172</v>
      </c>
      <c r="F414" s="2" t="s">
        <v>153</v>
      </c>
      <c r="G414" s="2" t="s">
        <v>19</v>
      </c>
      <c r="H414" s="5" t="s">
        <v>3</v>
      </c>
      <c r="K414" s="2" t="s">
        <v>562</v>
      </c>
    </row>
    <row r="415" spans="2:12" x14ac:dyDescent="0.25">
      <c r="E415" s="2" t="s">
        <v>173</v>
      </c>
      <c r="F415" s="2" t="s">
        <v>132</v>
      </c>
      <c r="G415" s="2" t="s">
        <v>133</v>
      </c>
      <c r="H415" s="5" t="s">
        <v>133</v>
      </c>
      <c r="I415" s="3" t="s">
        <v>401</v>
      </c>
      <c r="J415" s="2" t="s">
        <v>174</v>
      </c>
      <c r="L415" s="2" t="s">
        <v>402</v>
      </c>
    </row>
    <row r="416" spans="2:12" x14ac:dyDescent="0.25">
      <c r="E416" s="2" t="s">
        <v>135</v>
      </c>
      <c r="F416" s="2" t="s">
        <v>183</v>
      </c>
      <c r="G416" s="2" t="s">
        <v>19</v>
      </c>
      <c r="H416" s="6" t="s">
        <v>22</v>
      </c>
      <c r="K416" s="2" t="s">
        <v>583</v>
      </c>
    </row>
    <row r="417" spans="1:12" x14ac:dyDescent="0.25">
      <c r="E417" s="2" t="s">
        <v>228</v>
      </c>
      <c r="F417" s="2" t="s">
        <v>148</v>
      </c>
      <c r="G417" s="2" t="s">
        <v>19</v>
      </c>
      <c r="H417" s="5" t="s">
        <v>3</v>
      </c>
      <c r="I417" s="3" t="str">
        <f>$B$378</f>
        <v>OMOP Specimen</v>
      </c>
      <c r="K417" s="2" t="s">
        <v>562</v>
      </c>
    </row>
    <row r="418" spans="1:12" x14ac:dyDescent="0.25">
      <c r="E418" s="2" t="s">
        <v>229</v>
      </c>
      <c r="F418" s="2" t="s">
        <v>132</v>
      </c>
      <c r="G418" s="2" t="s">
        <v>133</v>
      </c>
      <c r="H418" s="5" t="s">
        <v>133</v>
      </c>
      <c r="I418" s="3" t="s">
        <v>389</v>
      </c>
      <c r="J418" s="2" t="s">
        <v>152</v>
      </c>
      <c r="L418" s="2" t="s">
        <v>390</v>
      </c>
    </row>
    <row r="419" spans="1:12" x14ac:dyDescent="0.25">
      <c r="C419" s="2" t="s">
        <v>403</v>
      </c>
      <c r="E419" s="2" t="s">
        <v>176</v>
      </c>
      <c r="F419" s="2" t="s">
        <v>151</v>
      </c>
      <c r="G419" s="2" t="s">
        <v>19</v>
      </c>
      <c r="H419" s="6" t="s">
        <v>32</v>
      </c>
      <c r="K419" s="2" t="s">
        <v>562</v>
      </c>
    </row>
    <row r="420" spans="1:12" x14ac:dyDescent="0.25">
      <c r="C420" s="2" t="s">
        <v>403</v>
      </c>
      <c r="E420" s="2" t="s">
        <v>178</v>
      </c>
      <c r="F420" s="2" t="s">
        <v>154</v>
      </c>
      <c r="G420" s="2" t="s">
        <v>19</v>
      </c>
      <c r="H420" s="6" t="s">
        <v>32</v>
      </c>
    </row>
    <row r="421" spans="1:12" ht="27" x14ac:dyDescent="0.25">
      <c r="B421" s="3" t="s">
        <v>493</v>
      </c>
      <c r="D421" s="2" t="s">
        <v>210</v>
      </c>
      <c r="E421" s="2" t="s">
        <v>200</v>
      </c>
      <c r="F421" s="2" t="s">
        <v>148</v>
      </c>
      <c r="G421" s="2" t="s">
        <v>34</v>
      </c>
      <c r="H421" s="8" t="s">
        <v>20</v>
      </c>
      <c r="I421" s="5" t="str">
        <f>$B$65</f>
        <v>OMOP Primary Dx Episode</v>
      </c>
      <c r="K421" s="2" t="s">
        <v>562</v>
      </c>
    </row>
    <row r="422" spans="1:12" x14ac:dyDescent="0.25">
      <c r="E422" s="2" t="s">
        <v>211</v>
      </c>
      <c r="F422" s="2" t="s">
        <v>148</v>
      </c>
      <c r="G422" s="2" t="s">
        <v>19</v>
      </c>
      <c r="H422" s="3" t="s">
        <v>3</v>
      </c>
      <c r="I422" s="3" t="str">
        <f>$B$378</f>
        <v>OMOP Specimen</v>
      </c>
      <c r="K422" s="2" t="s">
        <v>562</v>
      </c>
    </row>
    <row r="423" spans="1:12" x14ac:dyDescent="0.25">
      <c r="E423" s="2" t="s">
        <v>212</v>
      </c>
      <c r="F423" s="2" t="s">
        <v>132</v>
      </c>
      <c r="G423" s="2" t="s">
        <v>133</v>
      </c>
      <c r="H423" s="5" t="s">
        <v>133</v>
      </c>
      <c r="I423" s="3" t="s">
        <v>389</v>
      </c>
      <c r="J423" s="2" t="s">
        <v>152</v>
      </c>
      <c r="L423" s="2" t="s">
        <v>390</v>
      </c>
    </row>
    <row r="424" spans="1:12" ht="27" x14ac:dyDescent="0.25">
      <c r="B424" s="3" t="s">
        <v>494</v>
      </c>
      <c r="D424" s="2" t="s">
        <v>210</v>
      </c>
      <c r="E424" s="2" t="s">
        <v>200</v>
      </c>
      <c r="F424" s="2" t="s">
        <v>148</v>
      </c>
      <c r="G424" s="2" t="s">
        <v>50</v>
      </c>
      <c r="H424" s="8" t="s">
        <v>21</v>
      </c>
      <c r="I424" s="3" t="str">
        <f>$B$154</f>
        <v>OMOP Treatment Episode</v>
      </c>
      <c r="K424" s="2" t="s">
        <v>562</v>
      </c>
    </row>
    <row r="425" spans="1:12" x14ac:dyDescent="0.25">
      <c r="E425" s="2" t="s">
        <v>211</v>
      </c>
      <c r="F425" s="2" t="s">
        <v>148</v>
      </c>
      <c r="G425" s="2" t="s">
        <v>19</v>
      </c>
      <c r="H425" s="3" t="s">
        <v>3</v>
      </c>
      <c r="I425" s="3" t="str">
        <f>$B$378</f>
        <v>OMOP Specimen</v>
      </c>
      <c r="K425" s="2" t="s">
        <v>562</v>
      </c>
    </row>
    <row r="426" spans="1:12" x14ac:dyDescent="0.25">
      <c r="E426" s="2" t="s">
        <v>212</v>
      </c>
      <c r="F426" s="2" t="s">
        <v>132</v>
      </c>
      <c r="G426" s="2" t="s">
        <v>133</v>
      </c>
      <c r="H426" s="5" t="s">
        <v>133</v>
      </c>
      <c r="I426" s="3" t="s">
        <v>389</v>
      </c>
      <c r="J426" s="2" t="s">
        <v>152</v>
      </c>
      <c r="L426" s="2" t="s">
        <v>390</v>
      </c>
    </row>
    <row r="427" spans="1:12" ht="27" x14ac:dyDescent="0.25">
      <c r="B427" s="3" t="s">
        <v>479</v>
      </c>
      <c r="G427" s="2" t="s">
        <v>19</v>
      </c>
      <c r="H427" s="7" t="s">
        <v>26</v>
      </c>
    </row>
    <row r="428" spans="1:12" ht="27" x14ac:dyDescent="0.25">
      <c r="G428" s="2" t="s">
        <v>19</v>
      </c>
      <c r="H428" s="7" t="s">
        <v>27</v>
      </c>
    </row>
    <row r="429" spans="1:12" x14ac:dyDescent="0.25">
      <c r="G429" s="2" t="s">
        <v>19</v>
      </c>
      <c r="H429" s="7" t="s">
        <v>30</v>
      </c>
    </row>
    <row r="430" spans="1:12" ht="27" x14ac:dyDescent="0.25">
      <c r="G430" s="2" t="s">
        <v>19</v>
      </c>
      <c r="H430" s="7" t="s">
        <v>31</v>
      </c>
    </row>
    <row r="431" spans="1:12" ht="27" x14ac:dyDescent="0.25">
      <c r="A431" s="5" t="s">
        <v>615</v>
      </c>
      <c r="B431" s="3" t="s">
        <v>567</v>
      </c>
      <c r="D431" s="2" t="s">
        <v>543</v>
      </c>
      <c r="E431" s="2" t="s">
        <v>133</v>
      </c>
      <c r="F431" s="2" t="s">
        <v>555</v>
      </c>
      <c r="G431" s="2" t="s">
        <v>90</v>
      </c>
      <c r="H431" s="3" t="s">
        <v>91</v>
      </c>
    </row>
    <row r="432" spans="1:12" x14ac:dyDescent="0.25">
      <c r="A432" s="2"/>
      <c r="B432" s="2"/>
      <c r="D432" s="2" t="s">
        <v>574</v>
      </c>
      <c r="E432" s="2" t="s">
        <v>566</v>
      </c>
      <c r="F432" s="2" t="s">
        <v>153</v>
      </c>
      <c r="G432" s="2" t="s">
        <v>90</v>
      </c>
      <c r="H432" s="3" t="s">
        <v>91</v>
      </c>
      <c r="K432" s="2" t="s">
        <v>562</v>
      </c>
    </row>
    <row r="433" spans="2:12" x14ac:dyDescent="0.25">
      <c r="E433" s="2" t="s">
        <v>568</v>
      </c>
      <c r="F433" s="2" t="s">
        <v>132</v>
      </c>
      <c r="G433" s="2" t="s">
        <v>133</v>
      </c>
      <c r="H433" s="5" t="s">
        <v>133</v>
      </c>
      <c r="I433" s="3" t="s">
        <v>569</v>
      </c>
      <c r="J433" s="2" t="s">
        <v>570</v>
      </c>
      <c r="L433" s="2" t="s">
        <v>571</v>
      </c>
    </row>
    <row r="434" spans="2:12" x14ac:dyDescent="0.25">
      <c r="E434" s="2" t="s">
        <v>572</v>
      </c>
      <c r="F434" s="2" t="s">
        <v>183</v>
      </c>
      <c r="G434" s="2" t="s">
        <v>90</v>
      </c>
      <c r="H434" s="8" t="s">
        <v>92</v>
      </c>
      <c r="K434" s="2" t="s">
        <v>583</v>
      </c>
    </row>
    <row r="435" spans="2:12" x14ac:dyDescent="0.25">
      <c r="E435" s="2" t="s">
        <v>573</v>
      </c>
      <c r="F435" s="2" t="s">
        <v>183</v>
      </c>
      <c r="G435" s="2" t="s">
        <v>90</v>
      </c>
      <c r="H435" s="8" t="s">
        <v>92</v>
      </c>
      <c r="I435" s="8"/>
      <c r="K435" s="2" t="s">
        <v>583</v>
      </c>
    </row>
    <row r="436" spans="2:12" ht="27" x14ac:dyDescent="0.25">
      <c r="B436" s="3" t="s">
        <v>565</v>
      </c>
      <c r="D436" s="2" t="s">
        <v>130</v>
      </c>
      <c r="E436" s="2" t="s">
        <v>172</v>
      </c>
      <c r="F436" s="2" t="s">
        <v>153</v>
      </c>
      <c r="G436" s="2" t="s">
        <v>90</v>
      </c>
      <c r="H436" s="3" t="s">
        <v>91</v>
      </c>
      <c r="K436" s="2" t="s">
        <v>562</v>
      </c>
    </row>
    <row r="437" spans="2:12" x14ac:dyDescent="0.25">
      <c r="E437" s="2" t="s">
        <v>173</v>
      </c>
      <c r="F437" s="2" t="s">
        <v>132</v>
      </c>
      <c r="G437" s="2" t="s">
        <v>133</v>
      </c>
      <c r="H437" s="5" t="s">
        <v>133</v>
      </c>
      <c r="I437" s="3" t="s">
        <v>576</v>
      </c>
      <c r="J437" s="2" t="s">
        <v>174</v>
      </c>
      <c r="L437" s="2" t="s">
        <v>577</v>
      </c>
    </row>
    <row r="438" spans="2:12" x14ac:dyDescent="0.25">
      <c r="E438" s="2" t="s">
        <v>135</v>
      </c>
      <c r="F438" s="2" t="s">
        <v>183</v>
      </c>
      <c r="G438" s="2" t="s">
        <v>90</v>
      </c>
      <c r="H438" s="6" t="s">
        <v>95</v>
      </c>
      <c r="K438" s="2" t="s">
        <v>583</v>
      </c>
    </row>
    <row r="439" spans="2:12" x14ac:dyDescent="0.25">
      <c r="E439" s="2" t="s">
        <v>228</v>
      </c>
      <c r="F439" s="2" t="s">
        <v>148</v>
      </c>
      <c r="G439" s="2" t="s">
        <v>90</v>
      </c>
      <c r="H439" s="3" t="s">
        <v>91</v>
      </c>
      <c r="I439" s="3" t="str">
        <f>$B$431</f>
        <v>OMOP Follow Up Visit Occurrence</v>
      </c>
    </row>
    <row r="440" spans="2:12" x14ac:dyDescent="0.25">
      <c r="E440" s="2" t="s">
        <v>229</v>
      </c>
      <c r="F440" s="2" t="s">
        <v>132</v>
      </c>
      <c r="G440" s="2" t="s">
        <v>133</v>
      </c>
      <c r="H440" s="5" t="s">
        <v>133</v>
      </c>
      <c r="I440" s="3" t="s">
        <v>578</v>
      </c>
      <c r="J440" s="2" t="s">
        <v>152</v>
      </c>
      <c r="L440" s="2" t="s">
        <v>579</v>
      </c>
    </row>
    <row r="441" spans="2:12" x14ac:dyDescent="0.25">
      <c r="E441" s="2" t="s">
        <v>176</v>
      </c>
      <c r="F441" s="2" t="s">
        <v>151</v>
      </c>
      <c r="G441" s="2" t="s">
        <v>90</v>
      </c>
      <c r="H441" s="6" t="s">
        <v>93</v>
      </c>
      <c r="K441" s="2" t="s">
        <v>562</v>
      </c>
    </row>
    <row r="442" spans="2:12" x14ac:dyDescent="0.25">
      <c r="E442" s="2" t="s">
        <v>178</v>
      </c>
      <c r="F442" s="2" t="s">
        <v>154</v>
      </c>
      <c r="G442" s="2" t="s">
        <v>90</v>
      </c>
      <c r="H442" s="6" t="s">
        <v>93</v>
      </c>
    </row>
    <row r="443" spans="2:12" ht="27" x14ac:dyDescent="0.25">
      <c r="B443" s="3" t="s">
        <v>582</v>
      </c>
      <c r="D443" s="2" t="s">
        <v>130</v>
      </c>
      <c r="E443" s="2" t="s">
        <v>172</v>
      </c>
      <c r="F443" s="2" t="s">
        <v>153</v>
      </c>
      <c r="G443" s="2" t="s">
        <v>90</v>
      </c>
      <c r="H443" s="3" t="s">
        <v>91</v>
      </c>
      <c r="K443" s="2" t="s">
        <v>562</v>
      </c>
    </row>
    <row r="444" spans="2:12" x14ac:dyDescent="0.25">
      <c r="E444" s="2" t="s">
        <v>173</v>
      </c>
      <c r="F444" s="2" t="s">
        <v>132</v>
      </c>
      <c r="G444" s="2" t="s">
        <v>133</v>
      </c>
      <c r="H444" s="5" t="s">
        <v>133</v>
      </c>
      <c r="I444" s="3" t="s">
        <v>580</v>
      </c>
      <c r="J444" s="2" t="s">
        <v>174</v>
      </c>
      <c r="L444" s="2" t="s">
        <v>581</v>
      </c>
    </row>
    <row r="445" spans="2:12" x14ac:dyDescent="0.25">
      <c r="E445" s="2" t="s">
        <v>228</v>
      </c>
      <c r="F445" s="2" t="s">
        <v>148</v>
      </c>
      <c r="G445" s="2" t="s">
        <v>90</v>
      </c>
      <c r="H445" s="3" t="s">
        <v>91</v>
      </c>
      <c r="I445" s="3" t="str">
        <f>$B$431</f>
        <v>OMOP Follow Up Visit Occurrence</v>
      </c>
      <c r="K445" s="2" t="s">
        <v>562</v>
      </c>
    </row>
    <row r="446" spans="2:12" x14ac:dyDescent="0.25">
      <c r="E446" s="2" t="s">
        <v>229</v>
      </c>
      <c r="F446" s="2" t="s">
        <v>132</v>
      </c>
      <c r="G446" s="2" t="s">
        <v>133</v>
      </c>
      <c r="H446" s="5" t="s">
        <v>133</v>
      </c>
      <c r="I446" s="3" t="s">
        <v>578</v>
      </c>
      <c r="J446" s="2" t="s">
        <v>152</v>
      </c>
      <c r="L446" s="2" t="s">
        <v>579</v>
      </c>
    </row>
    <row r="447" spans="2:12" x14ac:dyDescent="0.25">
      <c r="E447" s="2" t="s">
        <v>176</v>
      </c>
      <c r="F447" s="2" t="s">
        <v>151</v>
      </c>
      <c r="G447" s="2" t="s">
        <v>90</v>
      </c>
      <c r="H447" s="11" t="s">
        <v>94</v>
      </c>
      <c r="K447" s="2" t="s">
        <v>562</v>
      </c>
    </row>
    <row r="448" spans="2:12" x14ac:dyDescent="0.25">
      <c r="E448" s="2" t="s">
        <v>178</v>
      </c>
      <c r="F448" s="2" t="s">
        <v>154</v>
      </c>
      <c r="G448" s="2" t="s">
        <v>90</v>
      </c>
      <c r="H448" s="11" t="s">
        <v>94</v>
      </c>
    </row>
    <row r="449" spans="1:12" ht="27" x14ac:dyDescent="0.25">
      <c r="B449" s="3" t="s">
        <v>478</v>
      </c>
      <c r="D449" s="2" t="s">
        <v>130</v>
      </c>
      <c r="E449" s="2" t="s">
        <v>172</v>
      </c>
      <c r="F449" s="2" t="s">
        <v>153</v>
      </c>
      <c r="G449" s="2" t="s">
        <v>90</v>
      </c>
      <c r="H449" s="3" t="s">
        <v>91</v>
      </c>
      <c r="K449" s="2" t="s">
        <v>562</v>
      </c>
    </row>
    <row r="450" spans="1:12" x14ac:dyDescent="0.25">
      <c r="E450" s="2" t="s">
        <v>173</v>
      </c>
      <c r="F450" s="2" t="s">
        <v>132</v>
      </c>
      <c r="G450" s="2" t="s">
        <v>133</v>
      </c>
      <c r="H450" s="5" t="s">
        <v>133</v>
      </c>
      <c r="I450" s="3" t="s">
        <v>404</v>
      </c>
      <c r="J450" s="2" t="s">
        <v>174</v>
      </c>
      <c r="L450" s="2" t="s">
        <v>405</v>
      </c>
    </row>
    <row r="451" spans="1:12" x14ac:dyDescent="0.25">
      <c r="E451" s="2" t="s">
        <v>228</v>
      </c>
      <c r="F451" s="2" t="s">
        <v>148</v>
      </c>
      <c r="G451" s="2" t="s">
        <v>90</v>
      </c>
      <c r="H451" s="3" t="s">
        <v>91</v>
      </c>
      <c r="I451" s="3" t="str">
        <f>$B$431</f>
        <v>OMOP Follow Up Visit Occurrence</v>
      </c>
      <c r="K451" s="2" t="s">
        <v>562</v>
      </c>
    </row>
    <row r="452" spans="1:12" x14ac:dyDescent="0.25">
      <c r="E452" s="2" t="s">
        <v>229</v>
      </c>
      <c r="F452" s="2" t="s">
        <v>132</v>
      </c>
      <c r="G452" s="2" t="s">
        <v>133</v>
      </c>
      <c r="H452" s="5" t="s">
        <v>133</v>
      </c>
      <c r="I452" s="3" t="s">
        <v>578</v>
      </c>
      <c r="J452" s="2" t="s">
        <v>152</v>
      </c>
      <c r="L452" s="2" t="s">
        <v>579</v>
      </c>
    </row>
    <row r="453" spans="1:12" x14ac:dyDescent="0.25">
      <c r="E453" s="2" t="s">
        <v>176</v>
      </c>
      <c r="F453" s="2" t="s">
        <v>192</v>
      </c>
      <c r="G453" s="2" t="s">
        <v>90</v>
      </c>
      <c r="H453" s="6" t="s">
        <v>97</v>
      </c>
      <c r="J453" s="2" t="s">
        <v>531</v>
      </c>
      <c r="K453" s="2" t="s">
        <v>562</v>
      </c>
    </row>
    <row r="454" spans="1:12" x14ac:dyDescent="0.25">
      <c r="E454" s="2" t="s">
        <v>178</v>
      </c>
      <c r="F454" s="2" t="s">
        <v>154</v>
      </c>
      <c r="G454" s="2" t="s">
        <v>90</v>
      </c>
      <c r="H454" s="6" t="s">
        <v>97</v>
      </c>
    </row>
    <row r="455" spans="1:12" ht="27" x14ac:dyDescent="0.25">
      <c r="B455" s="3" t="s">
        <v>480</v>
      </c>
      <c r="G455" s="2" t="s">
        <v>90</v>
      </c>
      <c r="H455" s="13" t="s">
        <v>96</v>
      </c>
    </row>
    <row r="456" spans="1:12" ht="27" x14ac:dyDescent="0.25">
      <c r="A456" s="5" t="s">
        <v>616</v>
      </c>
      <c r="B456" s="3" t="s">
        <v>567</v>
      </c>
      <c r="D456" s="2" t="s">
        <v>543</v>
      </c>
      <c r="E456" s="2" t="s">
        <v>133</v>
      </c>
      <c r="F456" s="2" t="s">
        <v>555</v>
      </c>
      <c r="G456" s="2" t="s">
        <v>90</v>
      </c>
      <c r="H456" s="3" t="s">
        <v>91</v>
      </c>
    </row>
    <row r="457" spans="1:12" x14ac:dyDescent="0.25">
      <c r="A457" s="2"/>
      <c r="B457" s="2"/>
      <c r="D457" s="2" t="s">
        <v>574</v>
      </c>
      <c r="E457" s="2" t="s">
        <v>566</v>
      </c>
      <c r="F457" s="2" t="s">
        <v>153</v>
      </c>
      <c r="G457" s="2" t="s">
        <v>90</v>
      </c>
      <c r="H457" s="3" t="s">
        <v>91</v>
      </c>
      <c r="K457" s="2" t="s">
        <v>562</v>
      </c>
    </row>
    <row r="458" spans="1:12" x14ac:dyDescent="0.25">
      <c r="E458" s="2" t="s">
        <v>568</v>
      </c>
      <c r="F458" s="2" t="s">
        <v>132</v>
      </c>
      <c r="G458" s="2" t="s">
        <v>133</v>
      </c>
      <c r="H458" s="5" t="s">
        <v>133</v>
      </c>
      <c r="I458" s="3" t="s">
        <v>569</v>
      </c>
      <c r="J458" s="2" t="s">
        <v>570</v>
      </c>
      <c r="L458" s="2" t="s">
        <v>571</v>
      </c>
    </row>
    <row r="459" spans="1:12" x14ac:dyDescent="0.25">
      <c r="E459" s="2" t="s">
        <v>572</v>
      </c>
      <c r="F459" s="2" t="s">
        <v>183</v>
      </c>
      <c r="G459" s="2" t="s">
        <v>90</v>
      </c>
      <c r="H459" s="8" t="s">
        <v>92</v>
      </c>
      <c r="K459" s="2" t="s">
        <v>583</v>
      </c>
    </row>
    <row r="460" spans="1:12" x14ac:dyDescent="0.25">
      <c r="E460" s="2" t="s">
        <v>573</v>
      </c>
      <c r="F460" s="2" t="s">
        <v>183</v>
      </c>
      <c r="G460" s="2" t="s">
        <v>90</v>
      </c>
      <c r="H460" s="8" t="s">
        <v>92</v>
      </c>
      <c r="I460" s="8"/>
      <c r="K460" s="2" t="s">
        <v>583</v>
      </c>
    </row>
    <row r="461" spans="1:12" ht="27" x14ac:dyDescent="0.25">
      <c r="B461" s="3" t="s">
        <v>565</v>
      </c>
      <c r="D461" s="2" t="s">
        <v>130</v>
      </c>
      <c r="E461" s="2" t="s">
        <v>172</v>
      </c>
      <c r="F461" s="2" t="s">
        <v>153</v>
      </c>
      <c r="G461" s="2" t="s">
        <v>90</v>
      </c>
      <c r="H461" s="3" t="s">
        <v>91</v>
      </c>
      <c r="K461" s="2" t="s">
        <v>562</v>
      </c>
    </row>
    <row r="462" spans="1:12" x14ac:dyDescent="0.25">
      <c r="E462" s="2" t="s">
        <v>173</v>
      </c>
      <c r="F462" s="2" t="s">
        <v>132</v>
      </c>
      <c r="G462" s="2" t="s">
        <v>133</v>
      </c>
      <c r="H462" s="5" t="s">
        <v>133</v>
      </c>
      <c r="I462" s="3" t="s">
        <v>576</v>
      </c>
      <c r="J462" s="2" t="s">
        <v>174</v>
      </c>
      <c r="L462" s="2" t="s">
        <v>577</v>
      </c>
    </row>
    <row r="463" spans="1:12" x14ac:dyDescent="0.25">
      <c r="E463" s="2" t="s">
        <v>135</v>
      </c>
      <c r="F463" s="2" t="s">
        <v>183</v>
      </c>
      <c r="G463" s="2" t="s">
        <v>90</v>
      </c>
      <c r="H463" s="6" t="s">
        <v>95</v>
      </c>
      <c r="K463" s="2" t="s">
        <v>583</v>
      </c>
    </row>
    <row r="464" spans="1:12" x14ac:dyDescent="0.25">
      <c r="E464" s="2" t="s">
        <v>228</v>
      </c>
      <c r="F464" s="2" t="s">
        <v>148</v>
      </c>
      <c r="G464" s="2" t="s">
        <v>90</v>
      </c>
      <c r="H464" s="3" t="s">
        <v>91</v>
      </c>
      <c r="I464" s="3" t="str">
        <f>$B$431</f>
        <v>OMOP Follow Up Visit Occurrence</v>
      </c>
    </row>
    <row r="465" spans="2:12" x14ac:dyDescent="0.25">
      <c r="E465" s="2" t="s">
        <v>229</v>
      </c>
      <c r="F465" s="2" t="s">
        <v>132</v>
      </c>
      <c r="G465" s="2" t="s">
        <v>133</v>
      </c>
      <c r="H465" s="5" t="s">
        <v>133</v>
      </c>
      <c r="I465" s="3" t="s">
        <v>578</v>
      </c>
      <c r="J465" s="2" t="s">
        <v>152</v>
      </c>
      <c r="L465" s="2" t="s">
        <v>579</v>
      </c>
    </row>
    <row r="466" spans="2:12" x14ac:dyDescent="0.25">
      <c r="E466" s="2" t="s">
        <v>176</v>
      </c>
      <c r="F466" s="2" t="s">
        <v>151</v>
      </c>
      <c r="G466" s="2" t="s">
        <v>90</v>
      </c>
      <c r="H466" s="6" t="s">
        <v>93</v>
      </c>
      <c r="K466" s="2" t="s">
        <v>562</v>
      </c>
    </row>
    <row r="467" spans="2:12" x14ac:dyDescent="0.25">
      <c r="E467" s="2" t="s">
        <v>178</v>
      </c>
      <c r="F467" s="2" t="s">
        <v>154</v>
      </c>
      <c r="G467" s="2" t="s">
        <v>90</v>
      </c>
      <c r="H467" s="6" t="s">
        <v>93</v>
      </c>
    </row>
    <row r="468" spans="2:12" ht="27" x14ac:dyDescent="0.25">
      <c r="B468" s="3" t="s">
        <v>582</v>
      </c>
      <c r="D468" s="2" t="s">
        <v>130</v>
      </c>
      <c r="E468" s="2" t="s">
        <v>172</v>
      </c>
      <c r="F468" s="2" t="s">
        <v>153</v>
      </c>
      <c r="G468" s="2" t="s">
        <v>90</v>
      </c>
      <c r="H468" s="3" t="s">
        <v>91</v>
      </c>
      <c r="K468" s="2" t="s">
        <v>562</v>
      </c>
    </row>
    <row r="469" spans="2:12" x14ac:dyDescent="0.25">
      <c r="E469" s="2" t="s">
        <v>173</v>
      </c>
      <c r="F469" s="2" t="s">
        <v>132</v>
      </c>
      <c r="G469" s="2" t="s">
        <v>133</v>
      </c>
      <c r="H469" s="5" t="s">
        <v>133</v>
      </c>
      <c r="I469" s="3" t="s">
        <v>580</v>
      </c>
      <c r="J469" s="2" t="s">
        <v>174</v>
      </c>
      <c r="L469" s="2" t="s">
        <v>581</v>
      </c>
    </row>
    <row r="470" spans="2:12" x14ac:dyDescent="0.25">
      <c r="E470" s="2" t="s">
        <v>228</v>
      </c>
      <c r="F470" s="2" t="s">
        <v>148</v>
      </c>
      <c r="G470" s="2" t="s">
        <v>90</v>
      </c>
      <c r="H470" s="3" t="s">
        <v>91</v>
      </c>
      <c r="I470" s="3" t="str">
        <f>$B$431</f>
        <v>OMOP Follow Up Visit Occurrence</v>
      </c>
      <c r="K470" s="2" t="s">
        <v>562</v>
      </c>
    </row>
    <row r="471" spans="2:12" x14ac:dyDescent="0.25">
      <c r="E471" s="2" t="s">
        <v>229</v>
      </c>
      <c r="F471" s="2" t="s">
        <v>132</v>
      </c>
      <c r="G471" s="2" t="s">
        <v>133</v>
      </c>
      <c r="H471" s="5" t="s">
        <v>133</v>
      </c>
      <c r="I471" s="3" t="s">
        <v>578</v>
      </c>
      <c r="J471" s="2" t="s">
        <v>152</v>
      </c>
      <c r="L471" s="2" t="s">
        <v>579</v>
      </c>
    </row>
    <row r="472" spans="2:12" x14ac:dyDescent="0.25">
      <c r="E472" s="2" t="s">
        <v>176</v>
      </c>
      <c r="F472" s="2" t="s">
        <v>151</v>
      </c>
      <c r="G472" s="2" t="s">
        <v>90</v>
      </c>
      <c r="H472" s="11" t="s">
        <v>94</v>
      </c>
      <c r="K472" s="2" t="s">
        <v>562</v>
      </c>
    </row>
    <row r="473" spans="2:12" x14ac:dyDescent="0.25">
      <c r="E473" s="2" t="s">
        <v>178</v>
      </c>
      <c r="F473" s="2" t="s">
        <v>154</v>
      </c>
      <c r="G473" s="2" t="s">
        <v>90</v>
      </c>
      <c r="H473" s="11" t="s">
        <v>94</v>
      </c>
    </row>
    <row r="474" spans="2:12" ht="27" x14ac:dyDescent="0.25">
      <c r="B474" s="3" t="s">
        <v>478</v>
      </c>
      <c r="D474" s="2" t="s">
        <v>130</v>
      </c>
      <c r="E474" s="2" t="s">
        <v>172</v>
      </c>
      <c r="F474" s="2" t="s">
        <v>153</v>
      </c>
      <c r="G474" s="2" t="s">
        <v>90</v>
      </c>
      <c r="H474" s="3" t="s">
        <v>91</v>
      </c>
      <c r="K474" s="2" t="s">
        <v>562</v>
      </c>
    </row>
    <row r="475" spans="2:12" x14ac:dyDescent="0.25">
      <c r="E475" s="2" t="s">
        <v>173</v>
      </c>
      <c r="F475" s="2" t="s">
        <v>132</v>
      </c>
      <c r="G475" s="2" t="s">
        <v>133</v>
      </c>
      <c r="H475" s="5" t="s">
        <v>133</v>
      </c>
      <c r="I475" s="3" t="s">
        <v>404</v>
      </c>
      <c r="J475" s="2" t="s">
        <v>174</v>
      </c>
      <c r="L475" s="2" t="s">
        <v>405</v>
      </c>
    </row>
    <row r="476" spans="2:12" x14ac:dyDescent="0.25">
      <c r="E476" s="2" t="s">
        <v>228</v>
      </c>
      <c r="F476" s="2" t="s">
        <v>148</v>
      </c>
      <c r="G476" s="2" t="s">
        <v>90</v>
      </c>
      <c r="H476" s="3" t="s">
        <v>91</v>
      </c>
      <c r="I476" s="3" t="str">
        <f>$B$431</f>
        <v>OMOP Follow Up Visit Occurrence</v>
      </c>
      <c r="K476" s="2" t="s">
        <v>562</v>
      </c>
    </row>
    <row r="477" spans="2:12" x14ac:dyDescent="0.25">
      <c r="E477" s="2" t="s">
        <v>229</v>
      </c>
      <c r="F477" s="2" t="s">
        <v>132</v>
      </c>
      <c r="G477" s="2" t="s">
        <v>133</v>
      </c>
      <c r="H477" s="5" t="s">
        <v>133</v>
      </c>
      <c r="I477" s="3" t="s">
        <v>578</v>
      </c>
      <c r="J477" s="2" t="s">
        <v>152</v>
      </c>
      <c r="L477" s="2" t="s">
        <v>579</v>
      </c>
    </row>
    <row r="478" spans="2:12" x14ac:dyDescent="0.25">
      <c r="E478" s="2" t="s">
        <v>176</v>
      </c>
      <c r="F478" s="2" t="s">
        <v>192</v>
      </c>
      <c r="G478" s="2" t="s">
        <v>90</v>
      </c>
      <c r="H478" s="6" t="s">
        <v>97</v>
      </c>
      <c r="J478" s="2" t="s">
        <v>531</v>
      </c>
      <c r="K478" s="2" t="s">
        <v>562</v>
      </c>
    </row>
    <row r="479" spans="2:12" x14ac:dyDescent="0.25">
      <c r="E479" s="2" t="s">
        <v>178</v>
      </c>
      <c r="F479" s="2" t="s">
        <v>154</v>
      </c>
      <c r="G479" s="2" t="s">
        <v>90</v>
      </c>
      <c r="H479" s="6" t="s">
        <v>97</v>
      </c>
    </row>
    <row r="480" spans="2:12" ht="27" x14ac:dyDescent="0.25">
      <c r="B480" s="3" t="s">
        <v>617</v>
      </c>
      <c r="D480" s="2" t="s">
        <v>210</v>
      </c>
      <c r="E480" s="2" t="s">
        <v>200</v>
      </c>
      <c r="F480" s="2" t="s">
        <v>148</v>
      </c>
      <c r="G480" s="2" t="s">
        <v>34</v>
      </c>
      <c r="H480" s="8" t="s">
        <v>20</v>
      </c>
      <c r="I480" s="5" t="str">
        <f>$B$65</f>
        <v>OMOP Primary Dx Episode</v>
      </c>
      <c r="K480" s="2" t="s">
        <v>562</v>
      </c>
    </row>
    <row r="481" spans="1:12" x14ac:dyDescent="0.25">
      <c r="E481" s="2" t="s">
        <v>211</v>
      </c>
      <c r="F481" s="2" t="s">
        <v>148</v>
      </c>
      <c r="G481" s="2" t="s">
        <v>90</v>
      </c>
      <c r="H481" s="3" t="s">
        <v>91</v>
      </c>
      <c r="I481" s="3" t="str">
        <f>$B$431</f>
        <v>OMOP Follow Up Visit Occurrence</v>
      </c>
      <c r="K481" s="2" t="s">
        <v>562</v>
      </c>
    </row>
    <row r="482" spans="1:12" x14ac:dyDescent="0.25">
      <c r="E482" s="2" t="s">
        <v>212</v>
      </c>
      <c r="F482" s="2" t="s">
        <v>132</v>
      </c>
      <c r="G482" s="2" t="s">
        <v>133</v>
      </c>
      <c r="H482" s="5" t="s">
        <v>133</v>
      </c>
      <c r="I482" s="3" t="s">
        <v>578</v>
      </c>
      <c r="J482" s="2" t="s">
        <v>152</v>
      </c>
      <c r="L482" s="2" t="s">
        <v>579</v>
      </c>
    </row>
    <row r="483" spans="1:12" ht="27" x14ac:dyDescent="0.25">
      <c r="A483" s="5" t="s">
        <v>603</v>
      </c>
      <c r="B483" s="3" t="s">
        <v>567</v>
      </c>
      <c r="D483" s="2" t="s">
        <v>543</v>
      </c>
      <c r="E483" s="2" t="s">
        <v>133</v>
      </c>
      <c r="F483" s="2" t="s">
        <v>555</v>
      </c>
      <c r="G483" s="2" t="s">
        <v>90</v>
      </c>
      <c r="H483" s="3" t="s">
        <v>91</v>
      </c>
    </row>
    <row r="484" spans="1:12" x14ac:dyDescent="0.25">
      <c r="A484" s="2"/>
      <c r="B484" s="2"/>
      <c r="D484" s="2" t="s">
        <v>574</v>
      </c>
      <c r="E484" s="2" t="s">
        <v>566</v>
      </c>
      <c r="F484" s="2" t="s">
        <v>153</v>
      </c>
      <c r="G484" s="2" t="s">
        <v>90</v>
      </c>
      <c r="H484" s="3" t="s">
        <v>91</v>
      </c>
      <c r="K484" s="2" t="s">
        <v>562</v>
      </c>
    </row>
    <row r="485" spans="1:12" x14ac:dyDescent="0.25">
      <c r="E485" s="2" t="s">
        <v>568</v>
      </c>
      <c r="F485" s="2" t="s">
        <v>132</v>
      </c>
      <c r="G485" s="2" t="s">
        <v>133</v>
      </c>
      <c r="H485" s="5" t="s">
        <v>133</v>
      </c>
      <c r="I485" s="3" t="s">
        <v>569</v>
      </c>
      <c r="J485" s="2" t="s">
        <v>570</v>
      </c>
      <c r="L485" s="2" t="s">
        <v>571</v>
      </c>
    </row>
    <row r="486" spans="1:12" x14ac:dyDescent="0.25">
      <c r="E486" s="2" t="s">
        <v>572</v>
      </c>
      <c r="F486" s="2" t="s">
        <v>183</v>
      </c>
      <c r="G486" s="2" t="s">
        <v>90</v>
      </c>
      <c r="H486" s="8" t="s">
        <v>92</v>
      </c>
      <c r="K486" s="2" t="s">
        <v>583</v>
      </c>
    </row>
    <row r="487" spans="1:12" x14ac:dyDescent="0.25">
      <c r="E487" s="2" t="s">
        <v>573</v>
      </c>
      <c r="F487" s="2" t="s">
        <v>183</v>
      </c>
      <c r="G487" s="2" t="s">
        <v>90</v>
      </c>
      <c r="H487" s="8" t="s">
        <v>92</v>
      </c>
      <c r="I487" s="8"/>
      <c r="K487" s="2" t="s">
        <v>583</v>
      </c>
    </row>
    <row r="488" spans="1:12" ht="27" x14ac:dyDescent="0.25">
      <c r="B488" s="3" t="s">
        <v>565</v>
      </c>
      <c r="D488" s="2" t="s">
        <v>130</v>
      </c>
      <c r="E488" s="2" t="s">
        <v>172</v>
      </c>
      <c r="F488" s="2" t="s">
        <v>153</v>
      </c>
      <c r="G488" s="2" t="s">
        <v>90</v>
      </c>
      <c r="H488" s="3" t="s">
        <v>91</v>
      </c>
      <c r="K488" s="2" t="s">
        <v>562</v>
      </c>
    </row>
    <row r="489" spans="1:12" x14ac:dyDescent="0.25">
      <c r="E489" s="2" t="s">
        <v>173</v>
      </c>
      <c r="F489" s="2" t="s">
        <v>132</v>
      </c>
      <c r="G489" s="2" t="s">
        <v>133</v>
      </c>
      <c r="H489" s="5" t="s">
        <v>133</v>
      </c>
      <c r="I489" s="3" t="s">
        <v>576</v>
      </c>
      <c r="J489" s="2" t="s">
        <v>174</v>
      </c>
      <c r="L489" s="2" t="s">
        <v>577</v>
      </c>
    </row>
    <row r="490" spans="1:12" x14ac:dyDescent="0.25">
      <c r="E490" s="2" t="s">
        <v>135</v>
      </c>
      <c r="F490" s="2" t="s">
        <v>183</v>
      </c>
      <c r="G490" s="2" t="s">
        <v>90</v>
      </c>
      <c r="H490" s="6" t="s">
        <v>95</v>
      </c>
      <c r="K490" s="2" t="s">
        <v>583</v>
      </c>
    </row>
    <row r="491" spans="1:12" x14ac:dyDescent="0.25">
      <c r="E491" s="2" t="s">
        <v>228</v>
      </c>
      <c r="F491" s="2" t="s">
        <v>148</v>
      </c>
      <c r="G491" s="2" t="s">
        <v>90</v>
      </c>
      <c r="H491" s="3" t="s">
        <v>91</v>
      </c>
      <c r="I491" s="3" t="str">
        <f>$B$431</f>
        <v>OMOP Follow Up Visit Occurrence</v>
      </c>
    </row>
    <row r="492" spans="1:12" x14ac:dyDescent="0.25">
      <c r="E492" s="2" t="s">
        <v>229</v>
      </c>
      <c r="F492" s="2" t="s">
        <v>132</v>
      </c>
      <c r="G492" s="2" t="s">
        <v>133</v>
      </c>
      <c r="H492" s="5" t="s">
        <v>133</v>
      </c>
      <c r="I492" s="3" t="s">
        <v>578</v>
      </c>
      <c r="J492" s="2" t="s">
        <v>152</v>
      </c>
      <c r="L492" s="2" t="s">
        <v>579</v>
      </c>
    </row>
    <row r="493" spans="1:12" x14ac:dyDescent="0.25">
      <c r="E493" s="2" t="s">
        <v>176</v>
      </c>
      <c r="F493" s="2" t="s">
        <v>151</v>
      </c>
      <c r="G493" s="2" t="s">
        <v>90</v>
      </c>
      <c r="H493" s="6" t="s">
        <v>93</v>
      </c>
      <c r="K493" s="2" t="s">
        <v>562</v>
      </c>
    </row>
    <row r="494" spans="1:12" x14ac:dyDescent="0.25">
      <c r="E494" s="2" t="s">
        <v>178</v>
      </c>
      <c r="F494" s="2" t="s">
        <v>154</v>
      </c>
      <c r="G494" s="2" t="s">
        <v>90</v>
      </c>
      <c r="H494" s="6" t="s">
        <v>93</v>
      </c>
    </row>
    <row r="495" spans="1:12" ht="27" x14ac:dyDescent="0.25">
      <c r="B495" s="3" t="s">
        <v>582</v>
      </c>
      <c r="D495" s="2" t="s">
        <v>130</v>
      </c>
      <c r="E495" s="2" t="s">
        <v>172</v>
      </c>
      <c r="F495" s="2" t="s">
        <v>153</v>
      </c>
      <c r="G495" s="2" t="s">
        <v>90</v>
      </c>
      <c r="H495" s="3" t="s">
        <v>91</v>
      </c>
      <c r="K495" s="2" t="s">
        <v>562</v>
      </c>
    </row>
    <row r="496" spans="1:12" x14ac:dyDescent="0.25">
      <c r="E496" s="2" t="s">
        <v>173</v>
      </c>
      <c r="F496" s="2" t="s">
        <v>132</v>
      </c>
      <c r="G496" s="2" t="s">
        <v>133</v>
      </c>
      <c r="H496" s="5" t="s">
        <v>133</v>
      </c>
      <c r="I496" s="3" t="s">
        <v>580</v>
      </c>
      <c r="J496" s="2" t="s">
        <v>174</v>
      </c>
      <c r="L496" s="2" t="s">
        <v>581</v>
      </c>
    </row>
    <row r="497" spans="1:12" x14ac:dyDescent="0.25">
      <c r="E497" s="2" t="s">
        <v>228</v>
      </c>
      <c r="F497" s="2" t="s">
        <v>148</v>
      </c>
      <c r="G497" s="2" t="s">
        <v>90</v>
      </c>
      <c r="H497" s="3" t="s">
        <v>91</v>
      </c>
      <c r="I497" s="3" t="str">
        <f>$B$431</f>
        <v>OMOP Follow Up Visit Occurrence</v>
      </c>
      <c r="K497" s="2" t="s">
        <v>562</v>
      </c>
    </row>
    <row r="498" spans="1:12" x14ac:dyDescent="0.25">
      <c r="E498" s="2" t="s">
        <v>229</v>
      </c>
      <c r="F498" s="2" t="s">
        <v>132</v>
      </c>
      <c r="G498" s="2" t="s">
        <v>133</v>
      </c>
      <c r="H498" s="5" t="s">
        <v>133</v>
      </c>
      <c r="I498" s="3" t="s">
        <v>578</v>
      </c>
      <c r="J498" s="2" t="s">
        <v>152</v>
      </c>
      <c r="L498" s="2" t="s">
        <v>579</v>
      </c>
    </row>
    <row r="499" spans="1:12" x14ac:dyDescent="0.25">
      <c r="E499" s="2" t="s">
        <v>176</v>
      </c>
      <c r="F499" s="2" t="s">
        <v>151</v>
      </c>
      <c r="G499" s="2" t="s">
        <v>90</v>
      </c>
      <c r="H499" s="11" t="s">
        <v>94</v>
      </c>
      <c r="K499" s="2" t="s">
        <v>562</v>
      </c>
    </row>
    <row r="500" spans="1:12" x14ac:dyDescent="0.25">
      <c r="E500" s="2" t="s">
        <v>178</v>
      </c>
      <c r="F500" s="2" t="s">
        <v>154</v>
      </c>
      <c r="G500" s="2" t="s">
        <v>90</v>
      </c>
      <c r="H500" s="11" t="s">
        <v>94</v>
      </c>
    </row>
    <row r="501" spans="1:12" ht="27" x14ac:dyDescent="0.25">
      <c r="B501" s="3" t="s">
        <v>478</v>
      </c>
      <c r="D501" s="2" t="s">
        <v>130</v>
      </c>
      <c r="E501" s="2" t="s">
        <v>172</v>
      </c>
      <c r="F501" s="2" t="s">
        <v>153</v>
      </c>
      <c r="G501" s="2" t="s">
        <v>90</v>
      </c>
      <c r="H501" s="3" t="s">
        <v>91</v>
      </c>
      <c r="K501" s="2" t="s">
        <v>562</v>
      </c>
    </row>
    <row r="502" spans="1:12" x14ac:dyDescent="0.25">
      <c r="E502" s="2" t="s">
        <v>173</v>
      </c>
      <c r="F502" s="2" t="s">
        <v>132</v>
      </c>
      <c r="G502" s="2" t="s">
        <v>133</v>
      </c>
      <c r="H502" s="5" t="s">
        <v>133</v>
      </c>
      <c r="I502" s="3" t="s">
        <v>404</v>
      </c>
      <c r="J502" s="2" t="s">
        <v>174</v>
      </c>
      <c r="L502" s="2" t="s">
        <v>405</v>
      </c>
    </row>
    <row r="503" spans="1:12" x14ac:dyDescent="0.25">
      <c r="E503" s="2" t="s">
        <v>228</v>
      </c>
      <c r="F503" s="2" t="s">
        <v>148</v>
      </c>
      <c r="G503" s="2" t="s">
        <v>90</v>
      </c>
      <c r="H503" s="3" t="s">
        <v>91</v>
      </c>
      <c r="I503" s="3" t="str">
        <f>$B$431</f>
        <v>OMOP Follow Up Visit Occurrence</v>
      </c>
      <c r="K503" s="2" t="s">
        <v>562</v>
      </c>
    </row>
    <row r="504" spans="1:12" x14ac:dyDescent="0.25">
      <c r="E504" s="2" t="s">
        <v>229</v>
      </c>
      <c r="F504" s="2" t="s">
        <v>132</v>
      </c>
      <c r="G504" s="2" t="s">
        <v>133</v>
      </c>
      <c r="H504" s="5" t="s">
        <v>133</v>
      </c>
      <c r="I504" s="3" t="s">
        <v>578</v>
      </c>
      <c r="J504" s="2" t="s">
        <v>152</v>
      </c>
      <c r="L504" s="2" t="s">
        <v>579</v>
      </c>
    </row>
    <row r="505" spans="1:12" x14ac:dyDescent="0.25">
      <c r="E505" s="2" t="s">
        <v>176</v>
      </c>
      <c r="F505" s="2" t="s">
        <v>192</v>
      </c>
      <c r="G505" s="2" t="s">
        <v>90</v>
      </c>
      <c r="H505" s="6" t="s">
        <v>97</v>
      </c>
      <c r="J505" s="2" t="s">
        <v>531</v>
      </c>
      <c r="K505" s="2" t="s">
        <v>562</v>
      </c>
    </row>
    <row r="506" spans="1:12" x14ac:dyDescent="0.25">
      <c r="E506" s="2" t="s">
        <v>178</v>
      </c>
      <c r="F506" s="2" t="s">
        <v>154</v>
      </c>
      <c r="G506" s="2" t="s">
        <v>90</v>
      </c>
      <c r="H506" s="6" t="s">
        <v>97</v>
      </c>
    </row>
    <row r="507" spans="1:12" ht="27" x14ac:dyDescent="0.25">
      <c r="B507" s="3" t="s">
        <v>618</v>
      </c>
      <c r="D507" s="2" t="s">
        <v>210</v>
      </c>
      <c r="E507" s="2" t="s">
        <v>200</v>
      </c>
      <c r="F507" s="2" t="s">
        <v>148</v>
      </c>
      <c r="G507" s="2" t="s">
        <v>50</v>
      </c>
      <c r="H507" s="8" t="s">
        <v>21</v>
      </c>
      <c r="I507" s="3" t="str">
        <f>$B$154</f>
        <v>OMOP Treatment Episode</v>
      </c>
      <c r="K507" s="2" t="s">
        <v>562</v>
      </c>
    </row>
    <row r="508" spans="1:12" x14ac:dyDescent="0.25">
      <c r="E508" s="2" t="s">
        <v>211</v>
      </c>
      <c r="F508" s="2" t="s">
        <v>148</v>
      </c>
      <c r="G508" s="2" t="s">
        <v>90</v>
      </c>
      <c r="H508" s="3" t="s">
        <v>91</v>
      </c>
      <c r="I508" s="3" t="str">
        <f>$B$431</f>
        <v>OMOP Follow Up Visit Occurrence</v>
      </c>
      <c r="K508" s="2" t="s">
        <v>562</v>
      </c>
    </row>
    <row r="509" spans="1:12" x14ac:dyDescent="0.25">
      <c r="E509" s="2" t="s">
        <v>212</v>
      </c>
      <c r="F509" s="2" t="s">
        <v>132</v>
      </c>
      <c r="G509" s="2" t="s">
        <v>133</v>
      </c>
      <c r="H509" s="5" t="s">
        <v>133</v>
      </c>
      <c r="I509" s="3" t="s">
        <v>578</v>
      </c>
      <c r="J509" s="2" t="s">
        <v>152</v>
      </c>
      <c r="L509" s="2" t="s">
        <v>579</v>
      </c>
    </row>
    <row r="510" spans="1:12" ht="27" x14ac:dyDescent="0.25">
      <c r="A510" s="5" t="s">
        <v>587</v>
      </c>
      <c r="B510" s="3" t="s">
        <v>497</v>
      </c>
      <c r="D510" s="2" t="s">
        <v>140</v>
      </c>
      <c r="E510" s="2" t="s">
        <v>213</v>
      </c>
      <c r="F510" s="2" t="s">
        <v>590</v>
      </c>
      <c r="G510" s="2" t="s">
        <v>9</v>
      </c>
      <c r="H510" s="5" t="s">
        <v>2</v>
      </c>
      <c r="K510" s="2" t="s">
        <v>562</v>
      </c>
    </row>
    <row r="511" spans="1:12" x14ac:dyDescent="0.25">
      <c r="E511" s="2" t="s">
        <v>214</v>
      </c>
      <c r="F511" s="2" t="s">
        <v>132</v>
      </c>
      <c r="G511" s="2" t="s">
        <v>133</v>
      </c>
      <c r="H511" s="5" t="s">
        <v>133</v>
      </c>
      <c r="I511" s="3" t="s">
        <v>406</v>
      </c>
      <c r="J511" s="2" t="s">
        <v>174</v>
      </c>
      <c r="L511" s="2" t="s">
        <v>407</v>
      </c>
    </row>
    <row r="512" spans="1:12" x14ac:dyDescent="0.25">
      <c r="E512" s="2" t="s">
        <v>142</v>
      </c>
      <c r="F512" s="2" t="s">
        <v>183</v>
      </c>
      <c r="G512" s="2" t="s">
        <v>98</v>
      </c>
      <c r="H512" s="11" t="s">
        <v>99</v>
      </c>
      <c r="K512" s="2" t="s">
        <v>583</v>
      </c>
    </row>
    <row r="513" spans="2:12" x14ac:dyDescent="0.25">
      <c r="E513" s="2" t="s">
        <v>314</v>
      </c>
      <c r="F513" s="2" t="s">
        <v>154</v>
      </c>
      <c r="G513" s="2" t="s">
        <v>98</v>
      </c>
      <c r="H513" s="6" t="s">
        <v>100</v>
      </c>
      <c r="K513" s="2" t="s">
        <v>562</v>
      </c>
    </row>
    <row r="514" spans="2:12" x14ac:dyDescent="0.25">
      <c r="E514" s="2" t="s">
        <v>316</v>
      </c>
      <c r="F514" s="2" t="s">
        <v>132</v>
      </c>
      <c r="G514" s="2" t="s">
        <v>133</v>
      </c>
      <c r="H514" s="5" t="s">
        <v>133</v>
      </c>
      <c r="I514" s="3" t="s">
        <v>408</v>
      </c>
      <c r="J514" s="2" t="s">
        <v>174</v>
      </c>
      <c r="L514" s="2" t="s">
        <v>409</v>
      </c>
    </row>
    <row r="515" spans="2:12" ht="27" x14ac:dyDescent="0.25">
      <c r="B515" s="3" t="s">
        <v>498</v>
      </c>
      <c r="D515" s="2" t="s">
        <v>140</v>
      </c>
      <c r="E515" s="2" t="s">
        <v>213</v>
      </c>
      <c r="F515" s="2" t="s">
        <v>590</v>
      </c>
      <c r="G515" s="2" t="s">
        <v>9</v>
      </c>
      <c r="H515" s="5" t="s">
        <v>2</v>
      </c>
      <c r="K515" s="2" t="s">
        <v>562</v>
      </c>
    </row>
    <row r="516" spans="2:12" x14ac:dyDescent="0.25">
      <c r="E516" s="2" t="s">
        <v>214</v>
      </c>
      <c r="F516" s="2" t="s">
        <v>132</v>
      </c>
      <c r="G516" s="2" t="s">
        <v>133</v>
      </c>
      <c r="H516" s="5" t="s">
        <v>133</v>
      </c>
      <c r="I516" s="3" t="s">
        <v>410</v>
      </c>
      <c r="J516" s="2" t="s">
        <v>174</v>
      </c>
      <c r="L516" s="2" t="s">
        <v>411</v>
      </c>
    </row>
    <row r="517" spans="2:12" x14ac:dyDescent="0.25">
      <c r="E517" s="2" t="s">
        <v>142</v>
      </c>
      <c r="F517" s="2" t="s">
        <v>183</v>
      </c>
      <c r="G517" s="2" t="s">
        <v>98</v>
      </c>
      <c r="H517" s="11" t="s">
        <v>99</v>
      </c>
      <c r="K517" s="2" t="s">
        <v>583</v>
      </c>
    </row>
    <row r="518" spans="2:12" x14ac:dyDescent="0.25">
      <c r="E518" s="2" t="s">
        <v>314</v>
      </c>
      <c r="F518" s="2" t="s">
        <v>154</v>
      </c>
      <c r="G518" s="2" t="s">
        <v>98</v>
      </c>
      <c r="H518" s="6" t="s">
        <v>101</v>
      </c>
      <c r="K518" s="2" t="s">
        <v>562</v>
      </c>
    </row>
    <row r="519" spans="2:12" x14ac:dyDescent="0.25">
      <c r="E519" s="2" t="s">
        <v>316</v>
      </c>
      <c r="F519" s="2" t="s">
        <v>132</v>
      </c>
      <c r="G519" s="2" t="s">
        <v>133</v>
      </c>
      <c r="H519" s="5" t="s">
        <v>133</v>
      </c>
      <c r="I519" s="3" t="s">
        <v>412</v>
      </c>
      <c r="J519" s="2" t="s">
        <v>174</v>
      </c>
      <c r="L519" s="2" t="s">
        <v>413</v>
      </c>
    </row>
    <row r="520" spans="2:12" ht="27" x14ac:dyDescent="0.25">
      <c r="B520" s="3" t="s">
        <v>499</v>
      </c>
      <c r="D520" s="2" t="s">
        <v>140</v>
      </c>
      <c r="E520" s="2" t="s">
        <v>213</v>
      </c>
      <c r="F520" s="2" t="s">
        <v>590</v>
      </c>
      <c r="G520" s="2" t="s">
        <v>9</v>
      </c>
      <c r="H520" s="5" t="s">
        <v>2</v>
      </c>
      <c r="K520" s="2" t="s">
        <v>562</v>
      </c>
    </row>
    <row r="521" spans="2:12" x14ac:dyDescent="0.25">
      <c r="E521" s="2" t="s">
        <v>214</v>
      </c>
      <c r="F521" s="2" t="s">
        <v>132</v>
      </c>
      <c r="G521" s="2" t="s">
        <v>133</v>
      </c>
      <c r="H521" s="5" t="s">
        <v>133</v>
      </c>
      <c r="I521" s="3" t="s">
        <v>414</v>
      </c>
      <c r="J521" s="2" t="s">
        <v>174</v>
      </c>
      <c r="L521" s="2" t="s">
        <v>415</v>
      </c>
    </row>
    <row r="522" spans="2:12" x14ac:dyDescent="0.25">
      <c r="E522" s="2" t="s">
        <v>142</v>
      </c>
      <c r="F522" s="2" t="s">
        <v>183</v>
      </c>
      <c r="G522" s="2" t="s">
        <v>98</v>
      </c>
      <c r="H522" s="11" t="s">
        <v>99</v>
      </c>
      <c r="K522" s="2" t="s">
        <v>583</v>
      </c>
    </row>
    <row r="523" spans="2:12" x14ac:dyDescent="0.25">
      <c r="E523" s="2" t="s">
        <v>314</v>
      </c>
      <c r="F523" s="2" t="s">
        <v>154</v>
      </c>
      <c r="G523" s="2" t="s">
        <v>98</v>
      </c>
      <c r="H523" s="6" t="s">
        <v>102</v>
      </c>
      <c r="K523" s="2" t="s">
        <v>562</v>
      </c>
    </row>
    <row r="524" spans="2:12" x14ac:dyDescent="0.25">
      <c r="E524" s="2" t="s">
        <v>316</v>
      </c>
      <c r="F524" s="2" t="s">
        <v>132</v>
      </c>
      <c r="G524" s="2" t="s">
        <v>133</v>
      </c>
      <c r="H524" s="5" t="s">
        <v>133</v>
      </c>
      <c r="I524" s="3" t="s">
        <v>408</v>
      </c>
      <c r="J524" s="2" t="s">
        <v>174</v>
      </c>
      <c r="L524" s="2" t="s">
        <v>409</v>
      </c>
    </row>
    <row r="525" spans="2:12" ht="27" x14ac:dyDescent="0.25">
      <c r="B525" s="3" t="s">
        <v>500</v>
      </c>
      <c r="D525" s="2" t="s">
        <v>140</v>
      </c>
      <c r="E525" s="2" t="s">
        <v>213</v>
      </c>
      <c r="F525" s="2" t="s">
        <v>590</v>
      </c>
      <c r="G525" s="2" t="s">
        <v>9</v>
      </c>
      <c r="H525" s="5" t="s">
        <v>2</v>
      </c>
      <c r="K525" s="2" t="s">
        <v>562</v>
      </c>
    </row>
    <row r="526" spans="2:12" x14ac:dyDescent="0.25">
      <c r="E526" s="2" t="s">
        <v>214</v>
      </c>
      <c r="F526" s="2" t="s">
        <v>132</v>
      </c>
      <c r="G526" s="2" t="s">
        <v>133</v>
      </c>
      <c r="H526" s="5" t="s">
        <v>133</v>
      </c>
      <c r="I526" s="3" t="s">
        <v>416</v>
      </c>
      <c r="J526" s="2" t="s">
        <v>174</v>
      </c>
      <c r="L526" s="2" t="s">
        <v>417</v>
      </c>
    </row>
    <row r="527" spans="2:12" x14ac:dyDescent="0.25">
      <c r="E527" s="2" t="s">
        <v>142</v>
      </c>
      <c r="F527" s="2" t="s">
        <v>183</v>
      </c>
      <c r="G527" s="2" t="s">
        <v>98</v>
      </c>
      <c r="H527" s="11" t="s">
        <v>99</v>
      </c>
      <c r="K527" s="2" t="s">
        <v>583</v>
      </c>
    </row>
    <row r="528" spans="2:12" x14ac:dyDescent="0.25">
      <c r="E528" s="2" t="s">
        <v>176</v>
      </c>
      <c r="F528" s="2" t="s">
        <v>151</v>
      </c>
      <c r="G528" s="2" t="s">
        <v>98</v>
      </c>
      <c r="H528" s="6" t="s">
        <v>103</v>
      </c>
      <c r="K528" s="2" t="s">
        <v>562</v>
      </c>
    </row>
    <row r="529" spans="1:12" x14ac:dyDescent="0.25">
      <c r="E529" s="2" t="s">
        <v>314</v>
      </c>
      <c r="F529" s="2" t="s">
        <v>154</v>
      </c>
      <c r="G529" s="2" t="s">
        <v>98</v>
      </c>
      <c r="H529" s="6" t="s">
        <v>104</v>
      </c>
    </row>
    <row r="530" spans="1:12" x14ac:dyDescent="0.25">
      <c r="E530" s="2" t="s">
        <v>316</v>
      </c>
      <c r="F530" s="2" t="s">
        <v>132</v>
      </c>
      <c r="G530" s="2" t="s">
        <v>133</v>
      </c>
      <c r="H530" s="5" t="s">
        <v>133</v>
      </c>
      <c r="I530" s="3" t="s">
        <v>418</v>
      </c>
      <c r="J530" s="2" t="s">
        <v>174</v>
      </c>
      <c r="L530" s="2" t="s">
        <v>419</v>
      </c>
    </row>
    <row r="531" spans="1:12" ht="27" x14ac:dyDescent="0.25">
      <c r="B531" s="3" t="s">
        <v>501</v>
      </c>
      <c r="D531" s="2" t="s">
        <v>140</v>
      </c>
      <c r="E531" s="2" t="s">
        <v>213</v>
      </c>
      <c r="F531" s="2" t="s">
        <v>590</v>
      </c>
      <c r="G531" s="2" t="s">
        <v>9</v>
      </c>
      <c r="H531" s="5" t="s">
        <v>2</v>
      </c>
      <c r="K531" s="2" t="s">
        <v>562</v>
      </c>
    </row>
    <row r="532" spans="1:12" x14ac:dyDescent="0.25">
      <c r="E532" s="2" t="s">
        <v>214</v>
      </c>
      <c r="F532" s="2" t="s">
        <v>132</v>
      </c>
      <c r="G532" s="2" t="s">
        <v>133</v>
      </c>
      <c r="H532" s="5" t="s">
        <v>133</v>
      </c>
      <c r="I532" s="3" t="s">
        <v>420</v>
      </c>
      <c r="J532" s="2" t="s">
        <v>220</v>
      </c>
      <c r="L532" s="2" t="s">
        <v>421</v>
      </c>
    </row>
    <row r="533" spans="1:12" x14ac:dyDescent="0.25">
      <c r="E533" s="2" t="s">
        <v>142</v>
      </c>
      <c r="F533" s="2" t="s">
        <v>183</v>
      </c>
      <c r="G533" s="2" t="s">
        <v>98</v>
      </c>
      <c r="H533" s="11" t="s">
        <v>99</v>
      </c>
      <c r="K533" s="2" t="s">
        <v>583</v>
      </c>
    </row>
    <row r="534" spans="1:12" x14ac:dyDescent="0.25">
      <c r="E534" s="2" t="s">
        <v>176</v>
      </c>
      <c r="F534" s="2" t="s">
        <v>151</v>
      </c>
      <c r="G534" s="2" t="s">
        <v>98</v>
      </c>
      <c r="H534" s="6" t="s">
        <v>105</v>
      </c>
      <c r="K534" s="2" t="s">
        <v>562</v>
      </c>
    </row>
    <row r="535" spans="1:12" ht="27" x14ac:dyDescent="0.25">
      <c r="B535" s="3" t="s">
        <v>502</v>
      </c>
      <c r="D535" s="2" t="s">
        <v>140</v>
      </c>
      <c r="E535" s="2" t="s">
        <v>213</v>
      </c>
      <c r="F535" s="2" t="s">
        <v>590</v>
      </c>
      <c r="G535" s="2" t="s">
        <v>9</v>
      </c>
      <c r="H535" s="5" t="s">
        <v>2</v>
      </c>
      <c r="K535" s="2" t="s">
        <v>562</v>
      </c>
    </row>
    <row r="536" spans="1:12" x14ac:dyDescent="0.25">
      <c r="E536" s="2" t="s">
        <v>214</v>
      </c>
      <c r="F536" s="2" t="s">
        <v>132</v>
      </c>
      <c r="G536" s="2" t="s">
        <v>133</v>
      </c>
      <c r="H536" s="5" t="s">
        <v>133</v>
      </c>
      <c r="I536" s="3" t="s">
        <v>422</v>
      </c>
      <c r="J536" s="2" t="s">
        <v>220</v>
      </c>
      <c r="L536" s="2" t="s">
        <v>423</v>
      </c>
    </row>
    <row r="537" spans="1:12" x14ac:dyDescent="0.25">
      <c r="E537" s="2" t="s">
        <v>142</v>
      </c>
      <c r="F537" s="2" t="s">
        <v>183</v>
      </c>
      <c r="G537" s="2" t="s">
        <v>98</v>
      </c>
      <c r="H537" s="11" t="s">
        <v>99</v>
      </c>
      <c r="K537" s="2" t="s">
        <v>583</v>
      </c>
    </row>
    <row r="538" spans="1:12" x14ac:dyDescent="0.25">
      <c r="E538" s="2" t="s">
        <v>176</v>
      </c>
      <c r="F538" s="2" t="s">
        <v>151</v>
      </c>
      <c r="G538" s="2" t="s">
        <v>98</v>
      </c>
      <c r="H538" s="6" t="s">
        <v>106</v>
      </c>
      <c r="K538" s="2" t="s">
        <v>562</v>
      </c>
    </row>
    <row r="539" spans="1:12" ht="27" x14ac:dyDescent="0.25">
      <c r="B539" s="3" t="s">
        <v>510</v>
      </c>
      <c r="G539" s="2" t="s">
        <v>98</v>
      </c>
      <c r="H539" s="7" t="s">
        <v>107</v>
      </c>
    </row>
    <row r="540" spans="1:12" x14ac:dyDescent="0.25">
      <c r="G540" s="2" t="s">
        <v>98</v>
      </c>
      <c r="H540" s="7" t="s">
        <v>108</v>
      </c>
    </row>
    <row r="541" spans="1:12" x14ac:dyDescent="0.25">
      <c r="G541" s="2" t="s">
        <v>98</v>
      </c>
      <c r="H541" s="7" t="s">
        <v>109</v>
      </c>
    </row>
    <row r="542" spans="1:12" ht="27" x14ac:dyDescent="0.25">
      <c r="A542" s="5" t="s">
        <v>541</v>
      </c>
      <c r="B542" s="3" t="s">
        <v>503</v>
      </c>
      <c r="D542" s="2" t="s">
        <v>130</v>
      </c>
      <c r="E542" s="2" t="s">
        <v>172</v>
      </c>
      <c r="F542" s="2" t="s">
        <v>590</v>
      </c>
      <c r="G542" s="2" t="s">
        <v>9</v>
      </c>
      <c r="H542" s="5" t="s">
        <v>2</v>
      </c>
      <c r="K542" s="2" t="s">
        <v>562</v>
      </c>
    </row>
    <row r="543" spans="1:12" x14ac:dyDescent="0.25">
      <c r="E543" s="2" t="s">
        <v>173</v>
      </c>
      <c r="F543" s="2" t="s">
        <v>132</v>
      </c>
      <c r="G543" s="2" t="s">
        <v>133</v>
      </c>
      <c r="H543" s="5" t="s">
        <v>133</v>
      </c>
      <c r="I543" s="3" t="s">
        <v>424</v>
      </c>
      <c r="J543" s="2" t="s">
        <v>224</v>
      </c>
      <c r="L543" s="2" t="s">
        <v>425</v>
      </c>
    </row>
    <row r="544" spans="1:12" x14ac:dyDescent="0.25">
      <c r="E544" s="2" t="s">
        <v>176</v>
      </c>
      <c r="F544" s="2" t="s">
        <v>151</v>
      </c>
      <c r="G544" s="2" t="s">
        <v>117</v>
      </c>
      <c r="H544" s="6" t="s">
        <v>118</v>
      </c>
      <c r="K544" s="2" t="s">
        <v>562</v>
      </c>
    </row>
    <row r="545" spans="1:12" x14ac:dyDescent="0.25">
      <c r="E545" s="2" t="s">
        <v>178</v>
      </c>
      <c r="F545" s="2" t="s">
        <v>154</v>
      </c>
      <c r="G545" s="2" t="s">
        <v>117</v>
      </c>
      <c r="H545" s="6" t="s">
        <v>118</v>
      </c>
    </row>
    <row r="546" spans="1:12" ht="27" x14ac:dyDescent="0.25">
      <c r="B546" s="3" t="s">
        <v>505</v>
      </c>
      <c r="D546" s="2" t="s">
        <v>130</v>
      </c>
      <c r="E546" s="2" t="s">
        <v>172</v>
      </c>
      <c r="F546" s="2" t="s">
        <v>590</v>
      </c>
      <c r="G546" s="2" t="s">
        <v>9</v>
      </c>
      <c r="H546" s="5" t="s">
        <v>2</v>
      </c>
      <c r="K546" s="2" t="s">
        <v>562</v>
      </c>
    </row>
    <row r="547" spans="1:12" x14ac:dyDescent="0.25">
      <c r="E547" s="2" t="s">
        <v>173</v>
      </c>
      <c r="F547" s="2" t="s">
        <v>132</v>
      </c>
      <c r="G547" s="2" t="s">
        <v>133</v>
      </c>
      <c r="H547" s="5" t="s">
        <v>133</v>
      </c>
      <c r="I547" s="3" t="s">
        <v>588</v>
      </c>
      <c r="J547" s="2" t="s">
        <v>174</v>
      </c>
      <c r="L547" s="2" t="s">
        <v>589</v>
      </c>
    </row>
    <row r="548" spans="1:12" x14ac:dyDescent="0.25">
      <c r="E548" s="2" t="s">
        <v>228</v>
      </c>
      <c r="F548" s="2" t="s">
        <v>591</v>
      </c>
      <c r="G548" s="2" t="s">
        <v>9</v>
      </c>
      <c r="H548" s="5" t="s">
        <v>2</v>
      </c>
      <c r="I548" s="3" t="str">
        <f>$B$542</f>
        <v>OMOP Tobacco Smoking Status Observation</v>
      </c>
      <c r="K548" s="2" t="s">
        <v>562</v>
      </c>
    </row>
    <row r="549" spans="1:12" x14ac:dyDescent="0.25">
      <c r="E549" s="2" t="s">
        <v>229</v>
      </c>
      <c r="F549" s="2" t="s">
        <v>132</v>
      </c>
      <c r="G549" s="2" t="s">
        <v>133</v>
      </c>
      <c r="H549" s="5" t="s">
        <v>133</v>
      </c>
      <c r="I549" s="3" t="s">
        <v>428</v>
      </c>
      <c r="J549" s="2" t="s">
        <v>152</v>
      </c>
      <c r="L549" s="2" t="s">
        <v>429</v>
      </c>
    </row>
    <row r="550" spans="1:12" x14ac:dyDescent="0.25">
      <c r="E550" s="2" t="s">
        <v>314</v>
      </c>
      <c r="F550" s="2" t="s">
        <v>154</v>
      </c>
      <c r="G550" s="2" t="s">
        <v>117</v>
      </c>
      <c r="H550" s="6" t="s">
        <v>120</v>
      </c>
      <c r="K550" s="2" t="s">
        <v>562</v>
      </c>
    </row>
    <row r="551" spans="1:12" ht="27" x14ac:dyDescent="0.25">
      <c r="B551" s="3" t="s">
        <v>504</v>
      </c>
      <c r="D551" s="2" t="s">
        <v>130</v>
      </c>
      <c r="E551" s="2" t="s">
        <v>172</v>
      </c>
      <c r="F551" s="2" t="s">
        <v>590</v>
      </c>
      <c r="G551" s="2" t="s">
        <v>9</v>
      </c>
      <c r="H551" s="5" t="s">
        <v>2</v>
      </c>
      <c r="K551" s="2" t="s">
        <v>562</v>
      </c>
    </row>
    <row r="552" spans="1:12" x14ac:dyDescent="0.25">
      <c r="E552" s="2" t="s">
        <v>173</v>
      </c>
      <c r="F552" s="2" t="s">
        <v>132</v>
      </c>
      <c r="G552" s="2" t="s">
        <v>133</v>
      </c>
      <c r="H552" s="5" t="s">
        <v>133</v>
      </c>
      <c r="I552" s="3" t="s">
        <v>426</v>
      </c>
      <c r="J552" s="2" t="s">
        <v>174</v>
      </c>
      <c r="L552" s="2" t="s">
        <v>427</v>
      </c>
    </row>
    <row r="553" spans="1:12" x14ac:dyDescent="0.25">
      <c r="E553" s="2" t="s">
        <v>228</v>
      </c>
      <c r="F553" s="2" t="s">
        <v>591</v>
      </c>
      <c r="G553" s="2" t="s">
        <v>9</v>
      </c>
      <c r="H553" s="5" t="s">
        <v>2</v>
      </c>
      <c r="I553" s="3" t="str">
        <f>$B$542</f>
        <v>OMOP Tobacco Smoking Status Observation</v>
      </c>
      <c r="K553" s="2" t="s">
        <v>562</v>
      </c>
    </row>
    <row r="554" spans="1:12" x14ac:dyDescent="0.25">
      <c r="E554" s="2" t="s">
        <v>229</v>
      </c>
      <c r="F554" s="2" t="s">
        <v>132</v>
      </c>
      <c r="G554" s="2" t="s">
        <v>133</v>
      </c>
      <c r="H554" s="5" t="s">
        <v>133</v>
      </c>
      <c r="I554" s="3" t="s">
        <v>428</v>
      </c>
      <c r="J554" s="2" t="s">
        <v>152</v>
      </c>
      <c r="L554" s="2" t="s">
        <v>429</v>
      </c>
    </row>
    <row r="555" spans="1:12" x14ac:dyDescent="0.25">
      <c r="E555" s="2" t="s">
        <v>176</v>
      </c>
      <c r="F555" s="2" t="s">
        <v>132</v>
      </c>
      <c r="G555" s="2" t="s">
        <v>133</v>
      </c>
      <c r="H555" s="5" t="s">
        <v>133</v>
      </c>
      <c r="I555" s="3" t="s">
        <v>549</v>
      </c>
    </row>
    <row r="556" spans="1:12" x14ac:dyDescent="0.25">
      <c r="E556" s="2" t="s">
        <v>178</v>
      </c>
      <c r="F556" s="2" t="s">
        <v>550</v>
      </c>
      <c r="G556" s="2" t="s">
        <v>117</v>
      </c>
      <c r="H556" s="6" t="s">
        <v>119</v>
      </c>
      <c r="K556" s="2" t="s">
        <v>562</v>
      </c>
    </row>
    <row r="557" spans="1:12" x14ac:dyDescent="0.25">
      <c r="A557" s="5" t="s">
        <v>542</v>
      </c>
      <c r="B557" s="3" t="s">
        <v>506</v>
      </c>
      <c r="D557" s="2" t="s">
        <v>145</v>
      </c>
      <c r="E557" s="2" t="s">
        <v>189</v>
      </c>
      <c r="F557" s="2" t="s">
        <v>590</v>
      </c>
      <c r="G557" s="2" t="s">
        <v>9</v>
      </c>
      <c r="H557" s="5" t="s">
        <v>2</v>
      </c>
    </row>
    <row r="558" spans="1:12" x14ac:dyDescent="0.25">
      <c r="E558" s="2" t="s">
        <v>191</v>
      </c>
      <c r="F558" s="2" t="s">
        <v>192</v>
      </c>
      <c r="G558" s="2" t="s">
        <v>110</v>
      </c>
      <c r="H558" s="6" t="s">
        <v>114</v>
      </c>
      <c r="J558" s="2" t="s">
        <v>193</v>
      </c>
      <c r="K558" s="2" t="s">
        <v>584</v>
      </c>
    </row>
    <row r="559" spans="1:12" x14ac:dyDescent="0.25">
      <c r="E559" s="2" t="s">
        <v>195</v>
      </c>
      <c r="F559" s="2" t="s">
        <v>154</v>
      </c>
      <c r="G559" s="2" t="s">
        <v>110</v>
      </c>
      <c r="H559" s="6" t="s">
        <v>114</v>
      </c>
    </row>
    <row r="560" spans="1:12" x14ac:dyDescent="0.25">
      <c r="E560" s="2" t="s">
        <v>197</v>
      </c>
      <c r="F560" s="2" t="s">
        <v>613</v>
      </c>
      <c r="G560" s="2" t="s">
        <v>110</v>
      </c>
      <c r="H560" s="6" t="s">
        <v>113</v>
      </c>
      <c r="K560" s="2" t="s">
        <v>583</v>
      </c>
    </row>
    <row r="561" spans="2:10" x14ac:dyDescent="0.25">
      <c r="E561" s="2" t="s">
        <v>198</v>
      </c>
      <c r="F561" s="2" t="s">
        <v>151</v>
      </c>
      <c r="G561" s="2" t="s">
        <v>110</v>
      </c>
      <c r="H561" s="6" t="s">
        <v>111</v>
      </c>
    </row>
    <row r="562" spans="2:10" x14ac:dyDescent="0.25">
      <c r="E562" s="2" t="s">
        <v>430</v>
      </c>
      <c r="F562" s="2" t="s">
        <v>154</v>
      </c>
      <c r="G562" s="2" t="s">
        <v>110</v>
      </c>
      <c r="H562" s="6" t="s">
        <v>111</v>
      </c>
    </row>
    <row r="563" spans="2:10" ht="27" x14ac:dyDescent="0.25">
      <c r="B563" s="3" t="s">
        <v>507</v>
      </c>
      <c r="D563" s="2" t="s">
        <v>140</v>
      </c>
      <c r="E563" s="2" t="s">
        <v>213</v>
      </c>
      <c r="F563" s="2" t="s">
        <v>590</v>
      </c>
      <c r="G563" s="2" t="s">
        <v>9</v>
      </c>
      <c r="H563" s="5" t="s">
        <v>2</v>
      </c>
    </row>
    <row r="564" spans="2:10" x14ac:dyDescent="0.25">
      <c r="E564" s="2" t="s">
        <v>214</v>
      </c>
      <c r="F564" s="2" t="s">
        <v>132</v>
      </c>
      <c r="G564" s="2" t="s">
        <v>133</v>
      </c>
      <c r="H564" s="5" t="s">
        <v>133</v>
      </c>
      <c r="I564" s="3" t="s">
        <v>219</v>
      </c>
      <c r="J564" s="2" t="s">
        <v>220</v>
      </c>
    </row>
    <row r="565" spans="2:10" x14ac:dyDescent="0.25">
      <c r="E565" s="2" t="s">
        <v>149</v>
      </c>
      <c r="F565" s="2" t="s">
        <v>148</v>
      </c>
      <c r="G565" s="2" t="s">
        <v>110</v>
      </c>
      <c r="H565" s="5" t="s">
        <v>542</v>
      </c>
      <c r="I565" s="3" t="str">
        <f>$B$557</f>
        <v>OMOP Comorbidity Condition</v>
      </c>
    </row>
    <row r="566" spans="2:10" x14ac:dyDescent="0.25">
      <c r="E566" s="2" t="s">
        <v>150</v>
      </c>
      <c r="F566" s="2" t="s">
        <v>132</v>
      </c>
      <c r="G566" s="2" t="s">
        <v>133</v>
      </c>
      <c r="H566" s="5" t="s">
        <v>133</v>
      </c>
      <c r="I566" s="3">
        <v>1147127</v>
      </c>
      <c r="J566" s="2" t="s">
        <v>152</v>
      </c>
    </row>
    <row r="567" spans="2:10" x14ac:dyDescent="0.25">
      <c r="E567" s="2" t="s">
        <v>176</v>
      </c>
      <c r="F567" s="2" t="s">
        <v>151</v>
      </c>
      <c r="G567" s="2" t="s">
        <v>110</v>
      </c>
      <c r="H567" s="6" t="s">
        <v>112</v>
      </c>
    </row>
    <row r="568" spans="2:10" x14ac:dyDescent="0.25">
      <c r="E568" s="2" t="s">
        <v>178</v>
      </c>
      <c r="F568" s="2" t="s">
        <v>154</v>
      </c>
      <c r="G568" s="2" t="s">
        <v>110</v>
      </c>
      <c r="H568" s="6" t="s">
        <v>112</v>
      </c>
    </row>
    <row r="569" spans="2:10" ht="27" x14ac:dyDescent="0.25">
      <c r="B569" s="3" t="s">
        <v>515</v>
      </c>
      <c r="C569" s="2" t="s">
        <v>614</v>
      </c>
      <c r="G569" s="12" t="s">
        <v>110</v>
      </c>
      <c r="H569" s="9" t="s">
        <v>115</v>
      </c>
    </row>
    <row r="570" spans="2:10" x14ac:dyDescent="0.25">
      <c r="G570" s="12" t="s">
        <v>110</v>
      </c>
      <c r="H570" s="7" t="s">
        <v>116</v>
      </c>
    </row>
    <row r="571" spans="2:10" x14ac:dyDescent="0.25">
      <c r="H571" s="6"/>
    </row>
    <row r="572" spans="2:10" x14ac:dyDescent="0.25">
      <c r="H572" s="6"/>
    </row>
    <row r="575" spans="2:10" ht="27" x14ac:dyDescent="0.25">
      <c r="B575" s="3" t="s">
        <v>508</v>
      </c>
      <c r="G575" s="12" t="s">
        <v>0</v>
      </c>
      <c r="H575" s="7" t="s">
        <v>3</v>
      </c>
    </row>
    <row r="576" spans="2:10" x14ac:dyDescent="0.25">
      <c r="G576" s="12" t="s">
        <v>0</v>
      </c>
      <c r="H576" s="7" t="s">
        <v>4</v>
      </c>
    </row>
    <row r="577" spans="7:8" x14ac:dyDescent="0.25">
      <c r="G577" s="12" t="s">
        <v>0</v>
      </c>
      <c r="H577" s="7" t="s">
        <v>5</v>
      </c>
    </row>
    <row r="578" spans="7:8" x14ac:dyDescent="0.25">
      <c r="G578" s="12" t="s">
        <v>0</v>
      </c>
      <c r="H578" s="7" t="s">
        <v>6</v>
      </c>
    </row>
    <row r="579" spans="7:8" x14ac:dyDescent="0.25">
      <c r="G579" s="12" t="s">
        <v>0</v>
      </c>
      <c r="H579" s="7" t="s">
        <v>7</v>
      </c>
    </row>
    <row r="580" spans="7:8" x14ac:dyDescent="0.25">
      <c r="G580" s="12" t="s">
        <v>0</v>
      </c>
      <c r="H580" s="7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Transformation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Justin</dc:creator>
  <cp:keywords/>
  <dc:description/>
  <cp:lastModifiedBy>Liu, Justin</cp:lastModifiedBy>
  <cp:revision/>
  <cp:lastPrinted>2025-11-03T16:33:46Z</cp:lastPrinted>
  <dcterms:created xsi:type="dcterms:W3CDTF">2025-06-02T15:05:46Z</dcterms:created>
  <dcterms:modified xsi:type="dcterms:W3CDTF">2026-02-17T18:34:39Z</dcterms:modified>
  <cp:category/>
  <cp:contentStatus/>
</cp:coreProperties>
</file>