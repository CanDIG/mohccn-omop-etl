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<sst xmlns="http://schemas.openxmlformats.org/spreadsheetml/2006/main" count="3535" uniqueCount="649">
  <si>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</si>
  <si>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</si>
  <si>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</si>
  <si>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</si>
  <si>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</si>
  <si>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</si>
  <si>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</si>
  <si>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</si>
  <si>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</si>
  <si>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</si>
  <si>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</si>
  <si>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</si>
  <si>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</si>
  <si>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</si>
  <si>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</si>
  <si>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</si>
  <si>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</si>
  <si>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</si>
  <si>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</si>
  <si>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</si>
  <si>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</si>
  <si>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</si>
  <si>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</si>
  <si>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</si>
  <si>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</si>
  <si>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</si>
  <si>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</si>
  <si>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</si>
  <si>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</si>
  <si>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</si>
  <si>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</si>
  <si>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</si>
  <si>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</si>
  <si>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</si>
  <si>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</si>
  <si>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</si>
  <si>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</si>
  <si>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</si>
  <si>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</si>
  <si>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</si>
  <si>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</si>
  <si>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</si>
  <si>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</si>
  <si>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</si>
  <si>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</si>
  <si>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</si>
  <si>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</si>
  <si>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</si>
  <si>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</si>
  <si>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</si>
  <si>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</si>
  <si>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</si>
  <si>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</si>
  <si>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</si>
  <si>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</si>
  <si>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</si>
  <si>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</si>
  <si>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</si>
  <si>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</si>
  <si>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</si>
  <si>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</si>
  <si>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</si>
  <si>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</si>
  <si>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</si>
  <si>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</si>
  <si>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</si>
  <si>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</si>
  <si>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</si>
  <si>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</si>
  <si>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</si>
  <si>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</si>
  <si>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</si>
  <si>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</si>
  <si>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</si>
  <si>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</si>
  <si>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</si>
  <si>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</si>
  <si>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</si>
  <si>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</si>
  <si>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</si>
  <si>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</si>
  <si>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</si>
  <si>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</si>
  <si>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</si>
  <si>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</si>
  <si>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</si>
  <si>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</si>
  <si>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</si>
  <si>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</si>
  <si>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</si>
  <si>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</si>
  <si>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</si>
  <si>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</si>
  <si>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</si>
  <si>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</si>
  <si>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</si>
  <si>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</si>
  <si>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</si>
  <si>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</si>
  <si>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</si>
  <si>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</si>
  <si>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</si>
  <si>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</si>
  <si>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</si>
  <si>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</si>
  <si>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</si>
  <si>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</si>
  <si>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</si>
  <si>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</si>
  <si>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</si>
  <si>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</si>
  <si>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</si>
  <si>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</si>
  <si>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</si>
  <si>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</si>
  <si>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</si>
  <si>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</si>
  <si>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</si>
  <si>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</si>
  <si>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</si>
  <si>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</si>
  <si>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</si>
  <si>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</si>
  <si>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</si>
  <si>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</si>
  <si>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</si>
  <si>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</si>
  <si>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</si>
  <si>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</si>
  <si>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</si>
  <si>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</si>
  <si>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</si>
  <si>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</si>
  <si>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</si>
  <si>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</si>
  <si>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</si>
  <si>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</si>
  <si>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</si>
  <si>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</si>
  <si>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</si>
  <si>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</si>
  <si>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</si>
  <si>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</si>
  <si>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</si>
  <si>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</si>
  <si>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</si>
  <si>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</si>
  <si>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</si>
  <si>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</si>
  <si>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</si>
  <si>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</si>
  <si>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</si>
  <si>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</si>
  <si>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</si>
  <si>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</si>
  <si>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</si>
  <si>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</si>
  <si>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</si>
  <si>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</si>
  <si>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</si>
  <si>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</si>
  <si>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</si>
  <si>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</si>
  <si>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</si>
  <si>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</si>
  <si>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</si>
  <si>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</si>
  <si>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</si>
  <si>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</si>
  <si>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</si>
  <si>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</si>
  <si>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</si>
  <si>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</si>
  <si>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</si>
  <si>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</si>
  <si>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</si>
  <si>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</si>
  <si>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</si>
  <si>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</si>
  <si>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</si>
  <si>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</si>
  <si>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</si>
  <si>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</si>
  <si>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</si>
  <si>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</si>
  <si>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</si>
  <si>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</si>
  <si>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</si>
  <si>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</si>
  <si>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</si>
  <si>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</si>
  <si>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</si>
  <si>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</si>
  <si>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</si>
  <si>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</si>
  <si>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</si>
  <si>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</si>
  <si>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</si>
  <si>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</si>
  <si>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</si>
  <si>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</si>
  <si>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</si>
  <si>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</si>
  <si>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</si>
  <si>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</si>
  <si>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</si>
  <si>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</si>
  <si>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</si>
  <si>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</si>
  <si>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</si>
  <si>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</si>
  <si>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</si>
  <si>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</si>
  <si>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</si>
  <si>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</si>
  <si>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</si>
  <si>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</si>
  <si>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</si>
  <si>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</si>
  <si>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</si>
  <si>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</si>
  <si>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</si>
  <si>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</si>
  <si>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</si>
  <si>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</si>
  <si>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</si>
  <si>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</si>
  <si>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</si>
  <si>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</si>
  <si>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</si>
  <si>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</si>
  <si>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</si>
  <si>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</si>
  <si>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</si>
  <si>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</si>
  <si>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</si>
  <si>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</si>
  <si>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</si>
  <si>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</si>
  <si>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</si>
  <si>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</si>
  <si>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</si>
  <si>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</si>
  <si>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</si>
  <si>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</si>
  <si>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</si>
  <si>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</si>
  <si>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</si>
  <si>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</si>
  <si>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</si>
  <si>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</si>
  <si>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</si>
  <si>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</si>
  <si>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</si>
  <si>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</si>
  <si>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</si>
  <si>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</si>
  <si>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</si>
  <si>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</si>
  <si>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</si>
  <si>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</si>
  <si>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</si>
  <si>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</si>
  <si>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</si>
  <si>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</si>
  <si>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</si>
  <si>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</si>
  <si>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</si>
  <si>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</si>
  <si>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</si>
  <si>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</si>
  <si>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</si>
  <si>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</si>
  <si>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</si>
  <si>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</si>
  <si>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</si>
  <si>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</si>
  <si>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</si>
  <si>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</si>
  <si>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</si>
  <si>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</si>
  <si>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</si>
  <si>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</si>
  <si>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</si>
  <si>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</si>
  <si>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</si>
  <si>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</si>
  <si>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</si>
  <si>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</si>
  <si>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</si>
  <si>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</si>
  <si>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</si>
  <si>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</si>
  <si>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</si>
  <si>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</si>
  <si>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</si>
  <si>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</si>
  <si>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</si>
  <si>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</si>
  <si>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</si>
  <si>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</si>
  <si>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</si>
  <si>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</si>
  <si>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</si>
  <si>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</si>
  <si>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</si>
  <si>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</si>
  <si>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</si>
  <si>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</si>
  <si>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</si>
  <si>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</si>
  <si>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</si>
  <si>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</si>
  <si>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</si>
  <si>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</si>
  <si>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</si>
  <si>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</si>
  <si>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</si>
  <si>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</si>
  <si>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</si>
  <si>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</si>
  <si>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</si>
  <si>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</si>
  <si>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</si>
  <si>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</si>
  <si>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</si>
  <si>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</si>
  <si>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</si>
  <si>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</si>
  <si>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</si>
  <si>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</si>
  <si>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</si>
  <si>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</si>
  <si>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</si>
  <si>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</si>
  <si>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</si>
  <si>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</si>
  <si>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</si>
  <si>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</si>
  <si>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</si>
  <si>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</si>
  <si>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</si>
  <si>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</si>
  <si>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</si>
  <si>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</si>
  <si>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</si>
  <si>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</si>
  <si>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</si>
  <si>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</si>
  <si>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</si>
  <si>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</si>
  <si>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</si>
  <si>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</si>
  <si>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</si>
  <si>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</si>
  <si>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</si>
  <si>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</si>
  <si>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</si>
  <si>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</si>
  <si>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</si>
  <si>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</si>
  <si>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</si>
  <si>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</si>
  <si>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</si>
  <si>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</si>
  <si>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</si>
  <si>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</si>
  <si>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</si>
  <si>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</si>
  <si>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</si>
  <si>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</si>
  <si>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</si>
  <si>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</si>
  <si>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</si>
  <si>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</si>
  <si>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</si>
  <si>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</si>
  <si>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</si>
  <si>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</si>
  <si>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</si>
  <si>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</si>
  <si>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</si>
  <si>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</si>
  <si>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</si>
  <si>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</si>
  <si>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</si>
  <si>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</si>
  <si>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</si>
  <si>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</si>
  <si>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</si>
  <si>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</si>
  <si>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</si>
  <si>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</si>
  <si>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</si>
  <si>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</si>
  <si>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</si>
  <si>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</si>
  <si>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</si>
  <si>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</si>
  <si>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</si>
  <si>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</si>
  <si>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</si>
  <si>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</si>
  <si>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</si>
  <si>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</si>
  <si>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</si>
  <si>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</si>
  <si>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</si>
  <si>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</si>
  <si>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</si>
  <si>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</si>
  <si>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</si>
  <si>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</si>
  <si>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</si>
  <si>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</si>
  <si>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</si>
  <si>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</si>
  <si>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</si>
  <si>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</si>
  <si>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</si>
  <si>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</si>
  <si>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</si>
  <si>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</si>
  <si>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</si>
  <si>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</si>
  <si>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</si>
  <si>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</si>
  <si>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</si>
  <si>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</si>
  <si>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</si>
  <si>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</si>
  <si>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</si>
  <si>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</si>
  <si>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</si>
  <si>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</si>
  <si>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</si>
  <si>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</si>
  <si>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</si>
  <si>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</si>
  <si>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</si>
  <si>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</si>
  <si>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</si>
  <si>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</si>
  <si>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</si>
  <si>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</si>
  <si>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</si>
  <si>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</si>
  <si>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</si>
  <si>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</si>
  <si>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</si>
  <si>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</si>
  <si>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</si>
  <si>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</si>
  <si>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</si>
  <si>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</si>
  <si>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</si>
  <si>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</si>
  <si>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</si>
  <si>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</si>
  <si>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</si>
  <si>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</si>
  <si>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</si>
  <si>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</si>
  <si>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</si>
  <si>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Surgical margin uninvolved by tumor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</si>
  <si>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</si>
  <si>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</si>
  <si>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</si>
  <si>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</si>
  <si>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</si>
  <si>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</si>
  <si>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Surgical margin involvement by tumor cannot be assessed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</si>
  <si>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</si>
  <si>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</si>
  <si>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</si>
  <si>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</si>
  <si>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</si>
  <si>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</si>
  <si>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</si>
  <si>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</si>
  <si>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</si>
  <si>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</si>
  <si>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</si>
  <si>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</si>
  <si>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</si>
  <si>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</si>
  <si>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</si>
  <si>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</si>
  <si>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</si>
  <si>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</si>
  <si>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</si>
  <si>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</si>
  <si>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</si>
  <si>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</si>
  <si>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</si>
  <si>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</si>
  <si>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</si>
  <si>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</si>
  <si>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</si>
  <si>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</si>
  <si>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</si>
  <si>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</si>
  <si>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</si>
  <si>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</si>
  <si>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</si>
  <si>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</si>
  <si>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</si>
  <si>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</si>
  <si>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</si>
  <si>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</si>
  <si>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</si>
  <si>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</si>
  <si>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</si>
  <si>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</si>
  <si>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</si>
  <si>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</si>
  <si>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</si>
  <si>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</si>
  <si>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</si>
  <si>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</si>
  <si>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</si>
  <si>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</si>
  <si>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</si>
  <si>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</si>
  <si>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</si>
  <si>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</si>
  <si>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</si>
  <si>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</si>
  <si>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</si>
  <si>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</si>
  <si>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</si>
  <si>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</si>
  <si>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</si>
  <si>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</si>
  <si>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</si>
  <si>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</si>
  <si>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</si>
  <si>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</si>
  <si>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</si>
  <si>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</si>
  <si>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</si>
  <si>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</si>
  <si>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</si>
  <si>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</si>
  <si>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</si>
  <si>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</si>
  <si>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</si>
  <si>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</si>
  <si>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</si>
  <si>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</si>
  <si>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</si>
  <si>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</si>
  <si>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</si>
  <si>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</si>
  <si>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</si>
  <si>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</si>
  <si>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</si>
  <si>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Biomarker</t>
  </si>
  <si>
    <t xml:space="preserve">test_date</t>
  </si>
  <si>
    <t xml:space="preserve">OMOP PSA Biomarker Measurement</t>
  </si>
  <si>
    <t xml:space="preserve">4272032</t>
  </si>
  <si>
    <t xml:space="preserve">Prostate specific antigen measurement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</si>
  <si>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</si>
  <si>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</si>
  <si>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</si>
  <si>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</si>
  <si>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</si>
  <si>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</si>
  <si>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</si>
  <si>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</si>
  <si>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</si>
  <si>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</si>
  <si>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</si>
  <si>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</si>
  <si>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</si>
  <si>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</si>
  <si>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</si>
  <si>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</si>
  <si>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</si>
  <si>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</si>
  <si>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</si>
  <si>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</si>
  <si>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</si>
  <si>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</si>
  <si>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</si>
  <si>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</si>
  <si>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</si>
  <si>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</si>
  <si>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</si>
  <si>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</si>
  <si>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</si>
  <si>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</si>
  <si>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</si>
  <si>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</si>
  <si>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</si>
  <si>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</si>
  <si>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</si>
  <si>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</si>
  <si>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</si>
  <si>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</si>
  <si>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</si>
  <si>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</si>
  <si>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</si>
  <si>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</si>
  <si>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</si>
  <si>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</si>
  <si>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{Biomarker.test_date}</t>
  </si>
  <si>
    <t xml:space="preserve">Biomarker – HPV strain (Code)</t>
  </si>
  <si>
    <t xml:space="preserve">hpv_strain</t>
  </si>
  <si>
    <t xml:space="preserve">Biomarker –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</si>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</sst>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F146" activePane="bottomRight" state="frozen"/>
      <selection pane="topLeft" activeCell="A1" activeCellId="0" sqref="A1"/>
      <selection pane="topRight" activeCell="F1" activeCellId="0" sqref="F1"/>
      <selection pane="bottomLeft" activeCell="A146" activeCellId="0" sqref="A146"/>
      <selection pane="bottomRight" activeCell="H166" activeCellId="0" sqref="H166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43.84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3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2.7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2.7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2.7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2.7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4.9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2.7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4.9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2.7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2.7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4.9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4.9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4.9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4.9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4.9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4.9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4.9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4.9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4.9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4.9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4.9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4.9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2.7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4.9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4.9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4.9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4.9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4.9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4.9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4.9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4.9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4.9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4.9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6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6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4.9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6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6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4.9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4.9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4.9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4.9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4.9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4.9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4.9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4.9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6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4.9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4.9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6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4.9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4.9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4.9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6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4.9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4.9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4.9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6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6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4.9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6" hidden="false" customHeight="false" outlineLevel="0" collapsed="false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2.75" hidden="false" customHeight="false" outlineLevel="0" collapsed="false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2.75" hidden="false" customHeight="false" outlineLevel="0" collapsed="false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6" hidden="false" customHeight="false" outlineLevel="0" collapsed="false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2.75" hidden="false" customHeight="false" outlineLevel="0" collapsed="false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464</v>
      </c>
    </row>
    <row r="369" customFormat="false" ht="12.75" hidden="false" customHeight="false" outlineLevel="0" collapsed="false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2.75" hidden="false" customHeight="false" outlineLevel="0" collapsed="false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465</v>
      </c>
      <c r="E372" s="1" t="s">
        <v>115</v>
      </c>
      <c r="F372" s="1" t="s">
        <v>279</v>
      </c>
      <c r="G372" s="1" t="s">
        <v>386</v>
      </c>
      <c r="H372" s="11" t="s">
        <v>466</v>
      </c>
    </row>
    <row r="373" customFormat="false" ht="12.75" hidden="false" customHeight="false" outlineLevel="0" collapsed="false">
      <c r="C373" s="1" t="s">
        <v>467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6" hidden="false" customHeight="false" outlineLevel="0" collapsed="false">
      <c r="A374" s="4" t="s">
        <v>468</v>
      </c>
      <c r="B374" s="5" t="s">
        <v>469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2.75" hidden="false" customHeight="false" outlineLevel="0" collapsed="false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470</v>
      </c>
      <c r="J375" s="1" t="s">
        <v>112</v>
      </c>
      <c r="L375" s="1" t="s">
        <v>471</v>
      </c>
    </row>
    <row r="376" customFormat="false" ht="12.75" hidden="false" customHeight="false" outlineLevel="0" collapsed="false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2.75" hidden="false" customHeight="false" outlineLevel="0" collapsed="false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472</v>
      </c>
      <c r="E379" s="1" t="s">
        <v>115</v>
      </c>
      <c r="F379" s="1" t="s">
        <v>279</v>
      </c>
      <c r="G379" s="1" t="s">
        <v>386</v>
      </c>
      <c r="H379" s="11" t="s">
        <v>473</v>
      </c>
    </row>
    <row r="380" customFormat="false" ht="12.75" hidden="false" customHeight="false" outlineLevel="0" collapsed="false">
      <c r="C380" s="1" t="s">
        <v>474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4.95" hidden="false" customHeight="false" outlineLevel="0" collapsed="false">
      <c r="A381" s="4" t="s">
        <v>475</v>
      </c>
      <c r="B381" s="5" t="s">
        <v>476</v>
      </c>
      <c r="D381" s="1" t="s">
        <v>64</v>
      </c>
      <c r="E381" s="1" t="s">
        <v>477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478</v>
      </c>
      <c r="F382" s="1" t="s">
        <v>84</v>
      </c>
      <c r="G382" s="1" t="s">
        <v>45</v>
      </c>
      <c r="H382" s="4" t="s">
        <v>46</v>
      </c>
    </row>
    <row r="383" s="1" customFormat="true" ht="12.75" hidden="false" customHeight="false" outlineLevel="0" collapsed="false">
      <c r="E383" s="1" t="s">
        <v>479</v>
      </c>
      <c r="F383" s="1" t="s">
        <v>16</v>
      </c>
      <c r="G383" s="1" t="s">
        <v>17</v>
      </c>
      <c r="H383" s="4" t="s">
        <v>17</v>
      </c>
      <c r="I383" s="6" t="s">
        <v>480</v>
      </c>
      <c r="J383" s="1" t="s">
        <v>112</v>
      </c>
      <c r="L383" s="1" t="s">
        <v>481</v>
      </c>
    </row>
    <row r="384" customFormat="false" ht="12.75" hidden="false" customHeight="false" outlineLevel="0" collapsed="false">
      <c r="C384" s="1" t="s">
        <v>482</v>
      </c>
      <c r="E384" s="1" t="s">
        <v>483</v>
      </c>
      <c r="F384" s="1" t="s">
        <v>123</v>
      </c>
      <c r="G384" s="1" t="s">
        <v>45</v>
      </c>
      <c r="H384" s="11" t="s">
        <v>484</v>
      </c>
      <c r="K384" s="1" t="s">
        <v>125</v>
      </c>
    </row>
    <row r="385" customFormat="false" ht="12.75" hidden="false" customHeight="false" outlineLevel="0" collapsed="false">
      <c r="C385" s="1" t="s">
        <v>485</v>
      </c>
      <c r="E385" s="1" t="s">
        <v>486</v>
      </c>
      <c r="F385" s="1" t="s">
        <v>141</v>
      </c>
      <c r="G385" s="1" t="s">
        <v>45</v>
      </c>
      <c r="H385" s="11" t="s">
        <v>487</v>
      </c>
      <c r="J385" s="1" t="s">
        <v>418</v>
      </c>
    </row>
    <row r="386" customFormat="false" ht="12.75" hidden="false" customHeight="false" outlineLevel="0" collapsed="false">
      <c r="C386" s="1" t="s">
        <v>488</v>
      </c>
      <c r="E386" s="1" t="s">
        <v>489</v>
      </c>
      <c r="F386" s="1" t="s">
        <v>21</v>
      </c>
      <c r="G386" s="1" t="s">
        <v>45</v>
      </c>
      <c r="H386" s="11" t="s">
        <v>487</v>
      </c>
    </row>
    <row r="387" customFormat="false" ht="12.75" hidden="false" customHeight="false" outlineLevel="0" collapsed="false">
      <c r="E387" s="1" t="s">
        <v>490</v>
      </c>
      <c r="F387" s="1" t="s">
        <v>21</v>
      </c>
      <c r="G387" s="1" t="s">
        <v>45</v>
      </c>
      <c r="H387" s="11" t="s">
        <v>46</v>
      </c>
    </row>
    <row r="388" customFormat="false" ht="24.95" hidden="false" customHeight="false" outlineLevel="0" collapsed="false">
      <c r="B388" s="5" t="s">
        <v>491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492</v>
      </c>
      <c r="J389" s="1" t="s">
        <v>112</v>
      </c>
      <c r="L389" s="1" t="s">
        <v>493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484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494</v>
      </c>
      <c r="E393" s="1" t="s">
        <v>115</v>
      </c>
      <c r="F393" s="1" t="s">
        <v>141</v>
      </c>
      <c r="G393" s="1" t="s">
        <v>45</v>
      </c>
      <c r="H393" s="11" t="s">
        <v>495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496</v>
      </c>
      <c r="E394" s="1" t="s">
        <v>118</v>
      </c>
      <c r="F394" s="1" t="s">
        <v>21</v>
      </c>
      <c r="G394" s="1" t="s">
        <v>45</v>
      </c>
      <c r="H394" s="11" t="s">
        <v>495</v>
      </c>
    </row>
    <row r="395" customFormat="false" ht="24.95" hidden="false" customHeight="false" outlineLevel="0" collapsed="false">
      <c r="B395" s="5" t="s">
        <v>497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498</v>
      </c>
      <c r="J396" s="1" t="s">
        <v>112</v>
      </c>
      <c r="L396" s="1" t="s">
        <v>499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484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500</v>
      </c>
      <c r="E400" s="1" t="s">
        <v>115</v>
      </c>
      <c r="F400" s="1" t="s">
        <v>89</v>
      </c>
      <c r="G400" s="1" t="s">
        <v>45</v>
      </c>
      <c r="H400" s="11" t="s">
        <v>501</v>
      </c>
      <c r="K400" s="1" t="s">
        <v>92</v>
      </c>
    </row>
    <row r="401" customFormat="false" ht="12.75" hidden="false" customHeight="false" outlineLevel="0" collapsed="false">
      <c r="C401" s="1" t="s">
        <v>500</v>
      </c>
      <c r="E401" s="1" t="s">
        <v>118</v>
      </c>
      <c r="F401" s="1" t="s">
        <v>21</v>
      </c>
      <c r="G401" s="1" t="s">
        <v>45</v>
      </c>
      <c r="H401" s="11" t="s">
        <v>501</v>
      </c>
    </row>
    <row r="402" customFormat="false" ht="12.75" hidden="false" customHeight="false" outlineLevel="0" collapsed="false">
      <c r="C402" s="1" t="s">
        <v>502</v>
      </c>
      <c r="E402" s="1" t="s">
        <v>216</v>
      </c>
      <c r="F402" s="1" t="s">
        <v>89</v>
      </c>
      <c r="G402" s="1" t="s">
        <v>45</v>
      </c>
      <c r="H402" s="11" t="s">
        <v>503</v>
      </c>
    </row>
    <row r="403" customFormat="false" ht="12.75" hidden="false" customHeight="false" outlineLevel="0" collapsed="false">
      <c r="C403" s="1" t="s">
        <v>502</v>
      </c>
      <c r="E403" s="1" t="s">
        <v>219</v>
      </c>
      <c r="F403" s="1" t="s">
        <v>21</v>
      </c>
      <c r="G403" s="1" t="s">
        <v>45</v>
      </c>
      <c r="H403" s="11" t="s">
        <v>503</v>
      </c>
    </row>
    <row r="404" customFormat="false" ht="24.95" hidden="false" customHeight="false" outlineLevel="0" collapsed="false">
      <c r="B404" s="5" t="s">
        <v>504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505</v>
      </c>
      <c r="J405" s="1" t="s">
        <v>112</v>
      </c>
      <c r="L405" s="1" t="s">
        <v>506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484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507</v>
      </c>
      <c r="E409" s="1" t="s">
        <v>115</v>
      </c>
      <c r="F409" s="1" t="s">
        <v>89</v>
      </c>
      <c r="G409" s="1" t="s">
        <v>45</v>
      </c>
      <c r="H409" s="11" t="s">
        <v>508</v>
      </c>
      <c r="K409" s="1" t="s">
        <v>41</v>
      </c>
    </row>
    <row r="410" customFormat="false" ht="12.75" hidden="false" customHeight="false" outlineLevel="0" collapsed="false">
      <c r="C410" s="1" t="s">
        <v>509</v>
      </c>
      <c r="E410" s="1" t="s">
        <v>118</v>
      </c>
      <c r="F410" s="1" t="s">
        <v>21</v>
      </c>
      <c r="G410" s="1" t="s">
        <v>45</v>
      </c>
      <c r="H410" s="11" t="s">
        <v>508</v>
      </c>
    </row>
    <row r="411" customFormat="false" ht="24.95" hidden="false" customHeight="false" outlineLevel="0" collapsed="false">
      <c r="B411" s="5" t="s">
        <v>510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511</v>
      </c>
      <c r="J412" s="1" t="s">
        <v>112</v>
      </c>
      <c r="L412" s="1" t="s">
        <v>512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484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513</v>
      </c>
      <c r="E416" s="1" t="s">
        <v>115</v>
      </c>
      <c r="F416" s="1" t="s">
        <v>89</v>
      </c>
      <c r="G416" s="1" t="s">
        <v>45</v>
      </c>
      <c r="H416" s="11" t="s">
        <v>514</v>
      </c>
      <c r="K416" s="1" t="s">
        <v>41</v>
      </c>
    </row>
    <row r="417" customFormat="false" ht="12.75" hidden="false" customHeight="false" outlineLevel="0" collapsed="false">
      <c r="C417" s="1" t="s">
        <v>513</v>
      </c>
      <c r="E417" s="1" t="s">
        <v>118</v>
      </c>
      <c r="F417" s="1" t="s">
        <v>21</v>
      </c>
      <c r="G417" s="1" t="s">
        <v>45</v>
      </c>
      <c r="H417" s="11" t="s">
        <v>514</v>
      </c>
    </row>
    <row r="418" customFormat="false" ht="24.95" hidden="false" customHeight="false" outlineLevel="0" collapsed="false">
      <c r="B418" s="5" t="s">
        <v>515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516</v>
      </c>
      <c r="J419" s="1" t="s">
        <v>112</v>
      </c>
      <c r="L419" s="1" t="s">
        <v>517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484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518</v>
      </c>
      <c r="E423" s="1" t="s">
        <v>115</v>
      </c>
      <c r="F423" s="1" t="s">
        <v>89</v>
      </c>
      <c r="G423" s="1" t="s">
        <v>45</v>
      </c>
      <c r="H423" s="11" t="s">
        <v>519</v>
      </c>
      <c r="K423" s="1" t="s">
        <v>41</v>
      </c>
    </row>
    <row r="424" customFormat="false" ht="12.75" hidden="false" customHeight="false" outlineLevel="0" collapsed="false">
      <c r="C424" s="1" t="s">
        <v>518</v>
      </c>
      <c r="E424" s="1" t="s">
        <v>118</v>
      </c>
      <c r="F424" s="1" t="s">
        <v>21</v>
      </c>
      <c r="G424" s="1" t="s">
        <v>45</v>
      </c>
      <c r="H424" s="11" t="s">
        <v>519</v>
      </c>
    </row>
    <row r="425" customFormat="false" ht="24.95" hidden="false" customHeight="false" outlineLevel="0" collapsed="false">
      <c r="B425" s="5" t="s">
        <v>520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4.95" hidden="false" customHeight="false" outlineLevel="0" collapsed="false">
      <c r="B428" s="5" t="s">
        <v>521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4.95" hidden="false" customHeight="false" outlineLevel="0" collapsed="false">
      <c r="B431" s="5" t="s">
        <v>522</v>
      </c>
      <c r="G431" s="1" t="s">
        <v>45</v>
      </c>
      <c r="H431" s="12" t="s">
        <v>523</v>
      </c>
    </row>
    <row r="432" customFormat="false" ht="24.95" hidden="false" customHeight="false" outlineLevel="0" collapsed="false">
      <c r="G432" s="1" t="s">
        <v>45</v>
      </c>
      <c r="H432" s="12" t="s">
        <v>524</v>
      </c>
    </row>
    <row r="433" customFormat="false" ht="13.05" hidden="false" customHeight="false" outlineLevel="0" collapsed="false">
      <c r="G433" s="1" t="s">
        <v>45</v>
      </c>
      <c r="H433" s="12" t="s">
        <v>525</v>
      </c>
    </row>
    <row r="434" customFormat="false" ht="13.05" hidden="false" customHeight="false" outlineLevel="0" collapsed="false">
      <c r="G434" s="1" t="s">
        <v>45</v>
      </c>
      <c r="H434" s="12" t="s">
        <v>526</v>
      </c>
    </row>
    <row r="435" customFormat="false" ht="24.95" hidden="false" customHeight="false" outlineLevel="0" collapsed="false">
      <c r="A435" s="4" t="s">
        <v>527</v>
      </c>
      <c r="B435" s="5" t="s">
        <v>528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529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2.75" hidden="false" customHeight="false" outlineLevel="0" collapsed="false">
      <c r="E437" s="1" t="s">
        <v>530</v>
      </c>
      <c r="F437" s="1" t="s">
        <v>16</v>
      </c>
      <c r="G437" s="1" t="s">
        <v>17</v>
      </c>
      <c r="H437" s="4" t="s">
        <v>17</v>
      </c>
      <c r="I437" s="6" t="s">
        <v>531</v>
      </c>
      <c r="J437" s="1" t="s">
        <v>532</v>
      </c>
      <c r="L437" s="1" t="s">
        <v>533</v>
      </c>
    </row>
    <row r="438" customFormat="false" ht="12.75" hidden="false" customHeight="false" outlineLevel="0" collapsed="false">
      <c r="E438" s="1" t="s">
        <v>534</v>
      </c>
      <c r="F438" s="1" t="s">
        <v>123</v>
      </c>
      <c r="G438" s="1" t="s">
        <v>51</v>
      </c>
      <c r="H438" s="13" t="s">
        <v>535</v>
      </c>
      <c r="K438" s="1" t="s">
        <v>125</v>
      </c>
    </row>
    <row r="439" customFormat="false" ht="12.75" hidden="false" customHeight="false" outlineLevel="0" collapsed="false">
      <c r="E439" s="1" t="s">
        <v>536</v>
      </c>
      <c r="F439" s="1" t="s">
        <v>123</v>
      </c>
      <c r="G439" s="1" t="s">
        <v>51</v>
      </c>
      <c r="H439" s="13" t="s">
        <v>535</v>
      </c>
      <c r="I439" s="17"/>
      <c r="K439" s="1" t="s">
        <v>125</v>
      </c>
    </row>
    <row r="440" customFormat="false" ht="24.95" hidden="false" customHeight="false" outlineLevel="0" collapsed="false">
      <c r="B440" s="5" t="s">
        <v>537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538</v>
      </c>
      <c r="J441" s="1" t="s">
        <v>112</v>
      </c>
      <c r="L441" s="1" t="s">
        <v>539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540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541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541</v>
      </c>
    </row>
    <row r="447" customFormat="false" ht="24.95" hidden="false" customHeight="false" outlineLevel="0" collapsed="false">
      <c r="B447" s="5" t="s">
        <v>542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543</v>
      </c>
      <c r="J448" s="1" t="s">
        <v>112</v>
      </c>
      <c r="L448" s="1" t="s">
        <v>544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8" t="s">
        <v>545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8" t="s">
        <v>545</v>
      </c>
    </row>
    <row r="453" customFormat="false" ht="24.95" hidden="false" customHeight="false" outlineLevel="0" collapsed="false">
      <c r="B453" s="5" t="s">
        <v>546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547</v>
      </c>
      <c r="J454" s="1" t="s">
        <v>112</v>
      </c>
      <c r="L454" s="1" t="s">
        <v>548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12.7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549</v>
      </c>
      <c r="J457" s="1" t="s">
        <v>418</v>
      </c>
      <c r="K457" s="1" t="s">
        <v>41</v>
      </c>
    </row>
    <row r="458" customFormat="false" ht="12.7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549</v>
      </c>
    </row>
    <row r="459" customFormat="false" ht="24.95" hidden="false" customHeight="false" outlineLevel="0" collapsed="false">
      <c r="B459" s="5" t="s">
        <v>550</v>
      </c>
      <c r="G459" s="1" t="s">
        <v>51</v>
      </c>
      <c r="H459" s="19" t="s">
        <v>551</v>
      </c>
    </row>
    <row r="460" customFormat="false" ht="24.95" hidden="false" customHeight="false" outlineLevel="0" collapsed="false">
      <c r="A460" s="4" t="s">
        <v>552</v>
      </c>
      <c r="B460" s="5" t="s">
        <v>528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529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2.75" hidden="false" customHeight="false" outlineLevel="0" collapsed="false">
      <c r="E462" s="1" t="s">
        <v>530</v>
      </c>
      <c r="F462" s="1" t="s">
        <v>16</v>
      </c>
      <c r="G462" s="1" t="s">
        <v>17</v>
      </c>
      <c r="H462" s="4" t="s">
        <v>17</v>
      </c>
      <c r="I462" s="6" t="s">
        <v>531</v>
      </c>
      <c r="J462" s="1" t="s">
        <v>532</v>
      </c>
      <c r="L462" s="1" t="s">
        <v>533</v>
      </c>
    </row>
    <row r="463" customFormat="false" ht="12.75" hidden="false" customHeight="false" outlineLevel="0" collapsed="false">
      <c r="E463" s="1" t="s">
        <v>534</v>
      </c>
      <c r="F463" s="1" t="s">
        <v>123</v>
      </c>
      <c r="G463" s="1" t="s">
        <v>51</v>
      </c>
      <c r="H463" s="13" t="s">
        <v>535</v>
      </c>
      <c r="K463" s="1" t="s">
        <v>125</v>
      </c>
    </row>
    <row r="464" customFormat="false" ht="12.75" hidden="false" customHeight="false" outlineLevel="0" collapsed="false">
      <c r="E464" s="1" t="s">
        <v>536</v>
      </c>
      <c r="F464" s="1" t="s">
        <v>123</v>
      </c>
      <c r="G464" s="1" t="s">
        <v>51</v>
      </c>
      <c r="H464" s="13" t="s">
        <v>535</v>
      </c>
      <c r="I464" s="17"/>
      <c r="K464" s="1" t="s">
        <v>125</v>
      </c>
    </row>
    <row r="465" customFormat="false" ht="24.95" hidden="false" customHeight="false" outlineLevel="0" collapsed="false">
      <c r="B465" s="5" t="s">
        <v>537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538</v>
      </c>
      <c r="J466" s="1" t="s">
        <v>112</v>
      </c>
      <c r="L466" s="1" t="s">
        <v>539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540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541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541</v>
      </c>
    </row>
    <row r="472" customFormat="false" ht="24.95" hidden="false" customHeight="false" outlineLevel="0" collapsed="false">
      <c r="B472" s="5" t="s">
        <v>542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543</v>
      </c>
      <c r="J473" s="1" t="s">
        <v>112</v>
      </c>
      <c r="L473" s="1" t="s">
        <v>544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8" t="s">
        <v>545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8" t="s">
        <v>545</v>
      </c>
    </row>
    <row r="478" customFormat="false" ht="24.95" hidden="false" customHeight="false" outlineLevel="0" collapsed="false">
      <c r="B478" s="5" t="s">
        <v>546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547</v>
      </c>
      <c r="J479" s="1" t="s">
        <v>112</v>
      </c>
      <c r="L479" s="1" t="s">
        <v>548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12.7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549</v>
      </c>
      <c r="J482" s="1" t="s">
        <v>418</v>
      </c>
      <c r="K482" s="1" t="s">
        <v>41</v>
      </c>
    </row>
    <row r="483" customFormat="false" ht="12.7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549</v>
      </c>
    </row>
    <row r="484" customFormat="false" ht="24.95" hidden="false" customHeight="false" outlineLevel="0" collapsed="false">
      <c r="B484" s="5" t="s">
        <v>553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4.95" hidden="false" customHeight="false" outlineLevel="0" collapsed="false">
      <c r="A487" s="4" t="s">
        <v>554</v>
      </c>
      <c r="B487" s="5" t="s">
        <v>528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529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2.75" hidden="false" customHeight="false" outlineLevel="0" collapsed="false">
      <c r="E489" s="1" t="s">
        <v>530</v>
      </c>
      <c r="F489" s="1" t="s">
        <v>16</v>
      </c>
      <c r="G489" s="1" t="s">
        <v>17</v>
      </c>
      <c r="H489" s="4" t="s">
        <v>17</v>
      </c>
      <c r="I489" s="6" t="s">
        <v>531</v>
      </c>
      <c r="J489" s="1" t="s">
        <v>532</v>
      </c>
      <c r="L489" s="1" t="s">
        <v>533</v>
      </c>
    </row>
    <row r="490" customFormat="false" ht="12.75" hidden="false" customHeight="false" outlineLevel="0" collapsed="false">
      <c r="E490" s="1" t="s">
        <v>534</v>
      </c>
      <c r="F490" s="1" t="s">
        <v>123</v>
      </c>
      <c r="G490" s="1" t="s">
        <v>51</v>
      </c>
      <c r="H490" s="13" t="s">
        <v>535</v>
      </c>
      <c r="K490" s="1" t="s">
        <v>125</v>
      </c>
    </row>
    <row r="491" customFormat="false" ht="12.75" hidden="false" customHeight="false" outlineLevel="0" collapsed="false">
      <c r="E491" s="1" t="s">
        <v>536</v>
      </c>
      <c r="F491" s="1" t="s">
        <v>123</v>
      </c>
      <c r="G491" s="1" t="s">
        <v>51</v>
      </c>
      <c r="H491" s="13" t="s">
        <v>535</v>
      </c>
      <c r="I491" s="17"/>
      <c r="K491" s="1" t="s">
        <v>125</v>
      </c>
    </row>
    <row r="492" customFormat="false" ht="24.95" hidden="false" customHeight="false" outlineLevel="0" collapsed="false">
      <c r="B492" s="5" t="s">
        <v>537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538</v>
      </c>
      <c r="J493" s="1" t="s">
        <v>112</v>
      </c>
      <c r="L493" s="1" t="s">
        <v>539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540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541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541</v>
      </c>
    </row>
    <row r="499" customFormat="false" ht="24.95" hidden="false" customHeight="false" outlineLevel="0" collapsed="false">
      <c r="B499" s="5" t="s">
        <v>542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543</v>
      </c>
      <c r="J500" s="1" t="s">
        <v>112</v>
      </c>
      <c r="L500" s="1" t="s">
        <v>544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8" t="s">
        <v>545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8" t="s">
        <v>545</v>
      </c>
    </row>
    <row r="505" customFormat="false" ht="24.95" hidden="false" customHeight="false" outlineLevel="0" collapsed="false">
      <c r="B505" s="5" t="s">
        <v>546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547</v>
      </c>
      <c r="J506" s="1" t="s">
        <v>112</v>
      </c>
      <c r="L506" s="1" t="s">
        <v>548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12.7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549</v>
      </c>
      <c r="J509" s="1" t="s">
        <v>418</v>
      </c>
      <c r="K509" s="1" t="s">
        <v>41</v>
      </c>
    </row>
    <row r="510" customFormat="false" ht="12.7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549</v>
      </c>
    </row>
    <row r="511" customFormat="false" ht="24.95" hidden="false" customHeight="false" outlineLevel="0" collapsed="false">
      <c r="B511" s="5" t="s">
        <v>555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13.8" hidden="false" customHeight="false" outlineLevel="0" collapsed="false">
      <c r="A514" s="4" t="s">
        <v>556</v>
      </c>
      <c r="D514" s="1" t="s">
        <v>64</v>
      </c>
      <c r="E514" s="1" t="s">
        <v>17</v>
      </c>
      <c r="F514" s="1" t="s">
        <v>75</v>
      </c>
      <c r="G514" s="1" t="s">
        <v>557</v>
      </c>
      <c r="H514" s="11" t="s">
        <v>558</v>
      </c>
      <c r="I514" s="20"/>
      <c r="K514" s="1" t="s">
        <v>125</v>
      </c>
    </row>
    <row r="515" customFormat="false" ht="24.95" hidden="false" customHeight="false" outlineLevel="0" collapsed="false">
      <c r="A515" s="0"/>
      <c r="B515" s="5" t="s">
        <v>559</v>
      </c>
      <c r="D515" s="1" t="s">
        <v>29</v>
      </c>
      <c r="E515" s="1" t="s">
        <v>168</v>
      </c>
      <c r="F515" s="1" t="s">
        <v>277</v>
      </c>
      <c r="G515" s="1" t="s">
        <v>39</v>
      </c>
      <c r="H515" s="4" t="s">
        <v>40</v>
      </c>
      <c r="K515" s="1" t="s">
        <v>41</v>
      </c>
    </row>
    <row r="516" customFormat="false" ht="12.75" hidden="false" customHeight="false" outlineLevel="0" collapsed="false">
      <c r="E516" s="1" t="s">
        <v>169</v>
      </c>
      <c r="F516" s="1" t="s">
        <v>16</v>
      </c>
      <c r="G516" s="1" t="s">
        <v>17</v>
      </c>
      <c r="H516" s="4" t="s">
        <v>17</v>
      </c>
      <c r="I516" s="6" t="s">
        <v>560</v>
      </c>
      <c r="J516" s="1" t="s">
        <v>112</v>
      </c>
      <c r="L516" s="1" t="s">
        <v>561</v>
      </c>
    </row>
    <row r="517" customFormat="false" ht="12.75" hidden="false" customHeight="false" outlineLevel="0" collapsed="false">
      <c r="E517" s="1" t="s">
        <v>31</v>
      </c>
      <c r="F517" s="1" t="s">
        <v>123</v>
      </c>
      <c r="G517" s="1" t="s">
        <v>557</v>
      </c>
      <c r="H517" s="18" t="s">
        <v>558</v>
      </c>
      <c r="K517" s="1" t="s">
        <v>125</v>
      </c>
    </row>
    <row r="518" customFormat="false" ht="12.75" hidden="false" customHeight="false" outlineLevel="0" collapsed="false">
      <c r="E518" s="1" t="s">
        <v>363</v>
      </c>
      <c r="F518" s="1" t="s">
        <v>21</v>
      </c>
      <c r="G518" s="1" t="s">
        <v>557</v>
      </c>
      <c r="H518" s="11" t="s">
        <v>562</v>
      </c>
      <c r="K518" s="1" t="s">
        <v>41</v>
      </c>
    </row>
    <row r="519" customFormat="false" ht="12.75" hidden="false" customHeight="false" outlineLevel="0" collapsed="false">
      <c r="E519" s="1" t="s">
        <v>366</v>
      </c>
      <c r="F519" s="1" t="s">
        <v>16</v>
      </c>
      <c r="G519" s="1" t="s">
        <v>17</v>
      </c>
      <c r="H519" s="4" t="s">
        <v>17</v>
      </c>
      <c r="I519" s="6" t="s">
        <v>563</v>
      </c>
      <c r="J519" s="1" t="s">
        <v>112</v>
      </c>
      <c r="L519" s="1" t="s">
        <v>564</v>
      </c>
    </row>
    <row r="520" customFormat="false" ht="24.95" hidden="false" customHeight="false" outlineLevel="0" collapsed="false">
      <c r="B520" s="5" t="s">
        <v>565</v>
      </c>
      <c r="D520" s="1" t="s">
        <v>29</v>
      </c>
      <c r="E520" s="1" t="s">
        <v>168</v>
      </c>
      <c r="F520" s="1" t="s">
        <v>277</v>
      </c>
      <c r="G520" s="1" t="s">
        <v>39</v>
      </c>
      <c r="H520" s="4" t="s">
        <v>40</v>
      </c>
      <c r="K520" s="1" t="s">
        <v>41</v>
      </c>
    </row>
    <row r="521" customFormat="false" ht="12.75" hidden="false" customHeight="false" outlineLevel="0" collapsed="false">
      <c r="E521" s="1" t="s">
        <v>169</v>
      </c>
      <c r="F521" s="1" t="s">
        <v>16</v>
      </c>
      <c r="G521" s="1" t="s">
        <v>17</v>
      </c>
      <c r="H521" s="4" t="s">
        <v>17</v>
      </c>
      <c r="I521" s="6" t="s">
        <v>566</v>
      </c>
      <c r="J521" s="1" t="s">
        <v>112</v>
      </c>
      <c r="L521" s="1" t="s">
        <v>567</v>
      </c>
    </row>
    <row r="522" customFormat="false" ht="12.75" hidden="false" customHeight="false" outlineLevel="0" collapsed="false">
      <c r="E522" s="1" t="s">
        <v>31</v>
      </c>
      <c r="F522" s="1" t="s">
        <v>123</v>
      </c>
      <c r="G522" s="1" t="s">
        <v>557</v>
      </c>
      <c r="H522" s="18" t="s">
        <v>558</v>
      </c>
      <c r="K522" s="1" t="s">
        <v>125</v>
      </c>
    </row>
    <row r="523" customFormat="false" ht="12.75" hidden="false" customHeight="false" outlineLevel="0" collapsed="false">
      <c r="E523" s="1" t="s">
        <v>363</v>
      </c>
      <c r="F523" s="1" t="s">
        <v>21</v>
      </c>
      <c r="G523" s="1" t="s">
        <v>557</v>
      </c>
      <c r="H523" s="11" t="s">
        <v>568</v>
      </c>
      <c r="K523" s="1" t="s">
        <v>41</v>
      </c>
    </row>
    <row r="524" customFormat="false" ht="12.75" hidden="false" customHeight="false" outlineLevel="0" collapsed="false">
      <c r="E524" s="1" t="s">
        <v>366</v>
      </c>
      <c r="F524" s="1" t="s">
        <v>16</v>
      </c>
      <c r="G524" s="1" t="s">
        <v>17</v>
      </c>
      <c r="H524" s="4" t="s">
        <v>17</v>
      </c>
      <c r="I524" s="6" t="s">
        <v>569</v>
      </c>
      <c r="J524" s="1" t="s">
        <v>112</v>
      </c>
      <c r="L524" s="1" t="s">
        <v>570</v>
      </c>
    </row>
    <row r="525" customFormat="false" ht="24.95" hidden="false" customHeight="false" outlineLevel="0" collapsed="false">
      <c r="B525" s="5" t="s">
        <v>571</v>
      </c>
      <c r="D525" s="1" t="s">
        <v>29</v>
      </c>
      <c r="E525" s="1" t="s">
        <v>168</v>
      </c>
      <c r="F525" s="1" t="s">
        <v>277</v>
      </c>
      <c r="G525" s="1" t="s">
        <v>39</v>
      </c>
      <c r="H525" s="4" t="s">
        <v>40</v>
      </c>
      <c r="K525" s="1" t="s">
        <v>41</v>
      </c>
    </row>
    <row r="526" customFormat="false" ht="12.75" hidden="false" customHeight="false" outlineLevel="0" collapsed="false">
      <c r="E526" s="1" t="s">
        <v>169</v>
      </c>
      <c r="F526" s="1" t="s">
        <v>16</v>
      </c>
      <c r="G526" s="1" t="s">
        <v>17</v>
      </c>
      <c r="H526" s="4" t="s">
        <v>17</v>
      </c>
      <c r="I526" s="6" t="s">
        <v>572</v>
      </c>
      <c r="J526" s="1" t="s">
        <v>112</v>
      </c>
      <c r="L526" s="1" t="s">
        <v>573</v>
      </c>
    </row>
    <row r="527" customFormat="false" ht="12.75" hidden="false" customHeight="false" outlineLevel="0" collapsed="false">
      <c r="E527" s="1" t="s">
        <v>31</v>
      </c>
      <c r="F527" s="1" t="s">
        <v>123</v>
      </c>
      <c r="G527" s="1" t="s">
        <v>557</v>
      </c>
      <c r="H527" s="18" t="s">
        <v>558</v>
      </c>
      <c r="K527" s="1" t="s">
        <v>125</v>
      </c>
    </row>
    <row r="528" customFormat="false" ht="12.75" hidden="false" customHeight="false" outlineLevel="0" collapsed="false">
      <c r="E528" s="1" t="s">
        <v>363</v>
      </c>
      <c r="F528" s="1" t="s">
        <v>21</v>
      </c>
      <c r="G528" s="1" t="s">
        <v>557</v>
      </c>
      <c r="H528" s="11" t="s">
        <v>574</v>
      </c>
      <c r="K528" s="1" t="s">
        <v>41</v>
      </c>
    </row>
    <row r="529" customFormat="false" ht="12.75" hidden="false" customHeight="false" outlineLevel="0" collapsed="false">
      <c r="E529" s="1" t="s">
        <v>366</v>
      </c>
      <c r="F529" s="1" t="s">
        <v>16</v>
      </c>
      <c r="G529" s="1" t="s">
        <v>17</v>
      </c>
      <c r="H529" s="4" t="s">
        <v>17</v>
      </c>
      <c r="I529" s="6" t="s">
        <v>563</v>
      </c>
      <c r="J529" s="1" t="s">
        <v>112</v>
      </c>
      <c r="L529" s="1" t="s">
        <v>564</v>
      </c>
    </row>
    <row r="530" customFormat="false" ht="24.95" hidden="false" customHeight="false" outlineLevel="0" collapsed="false">
      <c r="B530" s="5" t="s">
        <v>575</v>
      </c>
      <c r="D530" s="1" t="s">
        <v>29</v>
      </c>
      <c r="E530" s="1" t="s">
        <v>168</v>
      </c>
      <c r="F530" s="1" t="s">
        <v>277</v>
      </c>
      <c r="G530" s="1" t="s">
        <v>39</v>
      </c>
      <c r="H530" s="4" t="s">
        <v>40</v>
      </c>
      <c r="K530" s="1" t="s">
        <v>41</v>
      </c>
    </row>
    <row r="531" customFormat="false" ht="12.75" hidden="false" customHeight="false" outlineLevel="0" collapsed="false">
      <c r="E531" s="1" t="s">
        <v>169</v>
      </c>
      <c r="F531" s="1" t="s">
        <v>16</v>
      </c>
      <c r="G531" s="1" t="s">
        <v>17</v>
      </c>
      <c r="H531" s="4" t="s">
        <v>17</v>
      </c>
      <c r="I531" s="6" t="s">
        <v>576</v>
      </c>
      <c r="J531" s="1" t="s">
        <v>112</v>
      </c>
      <c r="L531" s="1" t="s">
        <v>577</v>
      </c>
    </row>
    <row r="532" customFormat="false" ht="12.75" hidden="false" customHeight="false" outlineLevel="0" collapsed="false">
      <c r="E532" s="1" t="s">
        <v>31</v>
      </c>
      <c r="F532" s="1" t="s">
        <v>123</v>
      </c>
      <c r="G532" s="1" t="s">
        <v>557</v>
      </c>
      <c r="H532" s="18" t="s">
        <v>558</v>
      </c>
      <c r="K532" s="1" t="s">
        <v>125</v>
      </c>
    </row>
    <row r="533" customFormat="false" ht="12.75" hidden="false" customHeight="false" outlineLevel="0" collapsed="false">
      <c r="E533" s="1" t="s">
        <v>115</v>
      </c>
      <c r="F533" s="1" t="s">
        <v>89</v>
      </c>
      <c r="G533" s="1" t="s">
        <v>557</v>
      </c>
      <c r="H533" s="11" t="s">
        <v>578</v>
      </c>
      <c r="K533" s="1" t="s">
        <v>41</v>
      </c>
    </row>
    <row r="534" customFormat="false" ht="12.75" hidden="false" customHeight="false" outlineLevel="0" collapsed="false">
      <c r="E534" s="1" t="s">
        <v>363</v>
      </c>
      <c r="F534" s="1" t="s">
        <v>21</v>
      </c>
      <c r="G534" s="1" t="s">
        <v>557</v>
      </c>
      <c r="H534" s="11" t="s">
        <v>579</v>
      </c>
    </row>
    <row r="535" customFormat="false" ht="12.75" hidden="false" customHeight="false" outlineLevel="0" collapsed="false">
      <c r="E535" s="1" t="s">
        <v>366</v>
      </c>
      <c r="F535" s="1" t="s">
        <v>16</v>
      </c>
      <c r="G535" s="1" t="s">
        <v>17</v>
      </c>
      <c r="H535" s="4" t="s">
        <v>17</v>
      </c>
      <c r="I535" s="6" t="s">
        <v>580</v>
      </c>
      <c r="J535" s="1" t="s">
        <v>112</v>
      </c>
      <c r="L535" s="1" t="s">
        <v>581</v>
      </c>
    </row>
    <row r="536" customFormat="false" ht="24.95" hidden="false" customHeight="false" outlineLevel="0" collapsed="false">
      <c r="B536" s="5" t="s">
        <v>582</v>
      </c>
      <c r="D536" s="1" t="s">
        <v>29</v>
      </c>
      <c r="E536" s="1" t="s">
        <v>168</v>
      </c>
      <c r="F536" s="1" t="s">
        <v>277</v>
      </c>
      <c r="G536" s="1" t="s">
        <v>39</v>
      </c>
      <c r="H536" s="4" t="s">
        <v>40</v>
      </c>
      <c r="K536" s="1" t="s">
        <v>41</v>
      </c>
    </row>
    <row r="537" customFormat="false" ht="26.1" hidden="false" customHeight="false" outlineLevel="0" collapsed="false">
      <c r="E537" s="1" t="s">
        <v>169</v>
      </c>
      <c r="F537" s="1" t="s">
        <v>16</v>
      </c>
      <c r="G537" s="1" t="s">
        <v>17</v>
      </c>
      <c r="H537" s="4" t="s">
        <v>17</v>
      </c>
      <c r="I537" s="21" t="n">
        <v>4030384</v>
      </c>
      <c r="J537" s="1" t="s">
        <v>112</v>
      </c>
      <c r="L537" s="22" t="s">
        <v>583</v>
      </c>
    </row>
    <row r="538" customFormat="false" ht="12.75" hidden="false" customHeight="false" outlineLevel="0" collapsed="false">
      <c r="E538" s="1" t="s">
        <v>31</v>
      </c>
      <c r="F538" s="1" t="s">
        <v>123</v>
      </c>
      <c r="G538" s="1" t="s">
        <v>557</v>
      </c>
      <c r="H538" s="18" t="s">
        <v>558</v>
      </c>
      <c r="K538" s="1" t="s">
        <v>125</v>
      </c>
    </row>
    <row r="539" customFormat="false" ht="12.75" hidden="false" customHeight="false" outlineLevel="0" collapsed="false">
      <c r="E539" s="1" t="s">
        <v>115</v>
      </c>
      <c r="F539" s="1" t="s">
        <v>89</v>
      </c>
      <c r="G539" s="1" t="s">
        <v>557</v>
      </c>
      <c r="H539" s="11" t="s">
        <v>584</v>
      </c>
      <c r="K539" s="1" t="s">
        <v>41</v>
      </c>
    </row>
    <row r="540" customFormat="false" ht="12.75" hidden="false" customHeight="false" outlineLevel="0" collapsed="false">
      <c r="E540" s="1" t="s">
        <v>363</v>
      </c>
      <c r="F540" s="1" t="s">
        <v>21</v>
      </c>
      <c r="G540" s="1" t="s">
        <v>557</v>
      </c>
      <c r="H540" s="11" t="s">
        <v>585</v>
      </c>
    </row>
    <row r="541" customFormat="false" ht="12.75" hidden="false" customHeight="false" outlineLevel="0" collapsed="false">
      <c r="E541" s="1" t="s">
        <v>366</v>
      </c>
      <c r="F541" s="1" t="s">
        <v>16</v>
      </c>
      <c r="G541" s="1" t="s">
        <v>17</v>
      </c>
      <c r="H541" s="4" t="s">
        <v>17</v>
      </c>
      <c r="I541" s="6" t="s">
        <v>580</v>
      </c>
      <c r="J541" s="1" t="s">
        <v>112</v>
      </c>
      <c r="L541" s="1" t="s">
        <v>581</v>
      </c>
    </row>
    <row r="542" customFormat="false" ht="24.95" hidden="false" customHeight="false" outlineLevel="0" collapsed="false">
      <c r="B542" s="5" t="s">
        <v>586</v>
      </c>
      <c r="D542" s="1" t="s">
        <v>29</v>
      </c>
      <c r="E542" s="1" t="s">
        <v>168</v>
      </c>
      <c r="F542" s="1" t="s">
        <v>277</v>
      </c>
      <c r="G542" s="1" t="s">
        <v>39</v>
      </c>
      <c r="H542" s="4" t="s">
        <v>40</v>
      </c>
      <c r="K542" s="1" t="s">
        <v>41</v>
      </c>
    </row>
    <row r="543" customFormat="false" ht="12.75" hidden="false" customHeight="false" outlineLevel="0" collapsed="false">
      <c r="E543" s="1" t="s">
        <v>169</v>
      </c>
      <c r="F543" s="1" t="s">
        <v>16</v>
      </c>
      <c r="G543" s="1" t="s">
        <v>17</v>
      </c>
      <c r="H543" s="4" t="s">
        <v>17</v>
      </c>
      <c r="I543" s="6" t="s">
        <v>587</v>
      </c>
      <c r="J543" s="1" t="s">
        <v>177</v>
      </c>
      <c r="L543" s="1" t="s">
        <v>588</v>
      </c>
    </row>
    <row r="544" customFormat="false" ht="12.75" hidden="false" customHeight="false" outlineLevel="0" collapsed="false">
      <c r="E544" s="1" t="s">
        <v>31</v>
      </c>
      <c r="F544" s="1" t="s">
        <v>123</v>
      </c>
      <c r="G544" s="1" t="s">
        <v>557</v>
      </c>
      <c r="H544" s="18" t="s">
        <v>558</v>
      </c>
      <c r="K544" s="1" t="s">
        <v>125</v>
      </c>
    </row>
    <row r="545" customFormat="false" ht="12.75" hidden="false" customHeight="false" outlineLevel="0" collapsed="false">
      <c r="E545" s="1" t="s">
        <v>115</v>
      </c>
      <c r="F545" s="1" t="s">
        <v>89</v>
      </c>
      <c r="G545" s="1" t="s">
        <v>557</v>
      </c>
      <c r="H545" s="11" t="s">
        <v>589</v>
      </c>
      <c r="K545" s="1" t="s">
        <v>41</v>
      </c>
    </row>
    <row r="546" customFormat="false" ht="24.95" hidden="false" customHeight="false" outlineLevel="0" collapsed="false">
      <c r="B546" s="5" t="s">
        <v>590</v>
      </c>
      <c r="D546" s="1" t="s">
        <v>29</v>
      </c>
      <c r="E546" s="1" t="s">
        <v>168</v>
      </c>
      <c r="F546" s="1" t="s">
        <v>277</v>
      </c>
      <c r="G546" s="1" t="s">
        <v>39</v>
      </c>
      <c r="H546" s="4" t="s">
        <v>40</v>
      </c>
      <c r="K546" s="1" t="s">
        <v>41</v>
      </c>
    </row>
    <row r="547" customFormat="false" ht="12.75" hidden="false" customHeight="false" outlineLevel="0" collapsed="false">
      <c r="E547" s="1" t="s">
        <v>169</v>
      </c>
      <c r="F547" s="1" t="s">
        <v>16</v>
      </c>
      <c r="G547" s="1" t="s">
        <v>17</v>
      </c>
      <c r="H547" s="4" t="s">
        <v>17</v>
      </c>
      <c r="I547" s="6" t="s">
        <v>591</v>
      </c>
      <c r="J547" s="1" t="s">
        <v>177</v>
      </c>
      <c r="L547" s="1" t="s">
        <v>592</v>
      </c>
    </row>
    <row r="548" customFormat="false" ht="12.75" hidden="false" customHeight="false" outlineLevel="0" collapsed="false">
      <c r="E548" s="1" t="s">
        <v>31</v>
      </c>
      <c r="F548" s="1" t="s">
        <v>123</v>
      </c>
      <c r="G548" s="1" t="s">
        <v>557</v>
      </c>
      <c r="H548" s="18" t="s">
        <v>558</v>
      </c>
      <c r="K548" s="1" t="s">
        <v>125</v>
      </c>
    </row>
    <row r="549" customFormat="false" ht="12.75" hidden="false" customHeight="false" outlineLevel="0" collapsed="false">
      <c r="E549" s="1" t="s">
        <v>115</v>
      </c>
      <c r="F549" s="1" t="s">
        <v>89</v>
      </c>
      <c r="G549" s="1" t="s">
        <v>557</v>
      </c>
      <c r="H549" s="11" t="s">
        <v>593</v>
      </c>
      <c r="K549" s="1" t="s">
        <v>41</v>
      </c>
    </row>
    <row r="550" customFormat="false" ht="24.95" hidden="false" customHeight="false" outlineLevel="0" collapsed="false">
      <c r="B550" s="5" t="s">
        <v>594</v>
      </c>
      <c r="D550" s="1" t="s">
        <v>14</v>
      </c>
      <c r="E550" s="1" t="s">
        <v>110</v>
      </c>
      <c r="F550" s="1" t="s">
        <v>277</v>
      </c>
      <c r="G550" s="1" t="s">
        <v>39</v>
      </c>
      <c r="H550" s="4" t="s">
        <v>40</v>
      </c>
      <c r="K550" s="1" t="s">
        <v>41</v>
      </c>
    </row>
    <row r="551" customFormat="false" ht="12.75" hidden="false" customHeight="false" outlineLevel="0" collapsed="false">
      <c r="E551" s="1" t="s">
        <v>111</v>
      </c>
      <c r="F551" s="1" t="s">
        <v>16</v>
      </c>
      <c r="G551" s="1" t="s">
        <v>17</v>
      </c>
      <c r="H551" s="4" t="s">
        <v>17</v>
      </c>
      <c r="I551" s="6" t="s">
        <v>595</v>
      </c>
      <c r="J551" s="1" t="s">
        <v>112</v>
      </c>
      <c r="L551" s="1" t="s">
        <v>596</v>
      </c>
    </row>
    <row r="552" customFormat="false" ht="12.75" hidden="false" customHeight="false" outlineLevel="0" collapsed="false">
      <c r="E552" s="1" t="s">
        <v>20</v>
      </c>
      <c r="F552" s="1" t="s">
        <v>123</v>
      </c>
      <c r="G552" s="1" t="s">
        <v>557</v>
      </c>
      <c r="H552" s="18" t="s">
        <v>558</v>
      </c>
      <c r="K552" s="1" t="s">
        <v>125</v>
      </c>
    </row>
    <row r="553" customFormat="false" ht="12.75" hidden="false" customHeight="false" outlineLevel="0" collapsed="false">
      <c r="E553" s="1" t="s">
        <v>115</v>
      </c>
      <c r="F553" s="1" t="s">
        <v>89</v>
      </c>
      <c r="G553" s="1" t="s">
        <v>557</v>
      </c>
      <c r="H553" s="11" t="s">
        <v>597</v>
      </c>
      <c r="K553" s="1" t="s">
        <v>41</v>
      </c>
    </row>
    <row r="554" customFormat="false" ht="12.75" hidden="false" customHeight="false" outlineLevel="0" collapsed="false">
      <c r="E554" s="1" t="s">
        <v>118</v>
      </c>
      <c r="F554" s="1" t="s">
        <v>21</v>
      </c>
      <c r="G554" s="1" t="s">
        <v>557</v>
      </c>
      <c r="H554" s="11" t="s">
        <v>597</v>
      </c>
    </row>
    <row r="555" customFormat="false" ht="12.75" hidden="false" customHeight="false" outlineLevel="0" collapsed="false">
      <c r="E555" s="1" t="s">
        <v>216</v>
      </c>
      <c r="F555" s="1" t="s">
        <v>16</v>
      </c>
      <c r="G555" s="1" t="s">
        <v>17</v>
      </c>
      <c r="H555" s="1" t="s">
        <v>17</v>
      </c>
      <c r="I555" s="3" t="s">
        <v>598</v>
      </c>
      <c r="J555" s="1" t="s">
        <v>112</v>
      </c>
      <c r="L555" s="1" t="s">
        <v>599</v>
      </c>
    </row>
    <row r="556" customFormat="false" ht="24.95" hidden="false" customHeight="false" outlineLevel="0" collapsed="false">
      <c r="B556" s="5" t="s">
        <v>600</v>
      </c>
      <c r="D556" s="1" t="s">
        <v>14</v>
      </c>
      <c r="E556" s="1" t="s">
        <v>110</v>
      </c>
      <c r="F556" s="1" t="s">
        <v>277</v>
      </c>
      <c r="G556" s="1" t="s">
        <v>39</v>
      </c>
      <c r="H556" s="4" t="s">
        <v>40</v>
      </c>
      <c r="K556" s="1" t="s">
        <v>41</v>
      </c>
    </row>
    <row r="557" customFormat="false" ht="12.75" hidden="false" customHeight="false" outlineLevel="0" collapsed="false">
      <c r="E557" s="1" t="s">
        <v>111</v>
      </c>
      <c r="F557" s="1" t="s">
        <v>16</v>
      </c>
      <c r="G557" s="1" t="s">
        <v>17</v>
      </c>
      <c r="H557" s="4" t="s">
        <v>17</v>
      </c>
      <c r="I557" s="6" t="s">
        <v>595</v>
      </c>
      <c r="J557" s="1" t="s">
        <v>112</v>
      </c>
      <c r="L557" s="1" t="s">
        <v>596</v>
      </c>
    </row>
    <row r="558" customFormat="false" ht="12.75" hidden="false" customHeight="false" outlineLevel="0" collapsed="false">
      <c r="E558" s="1" t="s">
        <v>20</v>
      </c>
      <c r="F558" s="1" t="s">
        <v>123</v>
      </c>
      <c r="G558" s="1" t="s">
        <v>557</v>
      </c>
      <c r="H558" s="18" t="s">
        <v>558</v>
      </c>
      <c r="K558" s="1" t="s">
        <v>125</v>
      </c>
    </row>
    <row r="559" customFormat="false" ht="12.75" hidden="false" customHeight="false" outlineLevel="0" collapsed="false">
      <c r="E559" s="1" t="s">
        <v>115</v>
      </c>
      <c r="F559" s="1" t="s">
        <v>89</v>
      </c>
      <c r="G559" s="1" t="s">
        <v>557</v>
      </c>
      <c r="H559" s="11" t="s">
        <v>601</v>
      </c>
      <c r="K559" s="1" t="s">
        <v>41</v>
      </c>
    </row>
    <row r="560" customFormat="false" ht="12.75" hidden="false" customHeight="false" outlineLevel="0" collapsed="false">
      <c r="E560" s="1" t="s">
        <v>118</v>
      </c>
      <c r="F560" s="1" t="s">
        <v>21</v>
      </c>
      <c r="G560" s="1" t="s">
        <v>557</v>
      </c>
      <c r="H560" s="11" t="s">
        <v>601</v>
      </c>
    </row>
    <row r="561" customFormat="false" ht="13.8" hidden="false" customHeight="false" outlineLevel="0" collapsed="false">
      <c r="E561" s="1" t="s">
        <v>216</v>
      </c>
      <c r="F561" s="1" t="s">
        <v>16</v>
      </c>
      <c r="G561" s="1" t="s">
        <v>17</v>
      </c>
      <c r="H561" s="1" t="s">
        <v>17</v>
      </c>
      <c r="I561" s="21" t="n">
        <v>4120014</v>
      </c>
      <c r="J561" s="1" t="s">
        <v>112</v>
      </c>
      <c r="L561" s="1" t="s">
        <v>602</v>
      </c>
    </row>
    <row r="562" customFormat="false" ht="24.95" hidden="false" customHeight="false" outlineLevel="0" collapsed="false">
      <c r="A562" s="4" t="s">
        <v>603</v>
      </c>
      <c r="B562" s="5" t="s">
        <v>604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4" t="s">
        <v>17</v>
      </c>
      <c r="I563" s="21" t="n">
        <v>4194639</v>
      </c>
      <c r="J563" s="1" t="s">
        <v>112</v>
      </c>
      <c r="L563" s="1" t="s">
        <v>605</v>
      </c>
    </row>
    <row r="564" customFormat="false" ht="12.75" hidden="false" customHeight="false" outlineLevel="0" collapsed="false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606</v>
      </c>
      <c r="K564" s="1" t="s">
        <v>125</v>
      </c>
    </row>
    <row r="565" customFormat="false" ht="12.75" hidden="false" customHeight="false" outlineLevel="0" collapsed="false">
      <c r="C565" s="1" t="s">
        <v>607</v>
      </c>
      <c r="E565" s="1" t="s">
        <v>115</v>
      </c>
      <c r="F565" s="1" t="s">
        <v>279</v>
      </c>
      <c r="G565" s="1" t="s">
        <v>557</v>
      </c>
      <c r="H565" s="11" t="s">
        <v>608</v>
      </c>
      <c r="K565" s="1" t="s">
        <v>41</v>
      </c>
    </row>
    <row r="566" customFormat="false" ht="12.75" hidden="false" customHeight="false" outlineLevel="0" collapsed="false">
      <c r="C566" s="1" t="s">
        <v>609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customFormat="false" ht="24.95" hidden="false" customHeight="false" outlineLevel="0" collapsed="false">
      <c r="A567" s="4" t="s">
        <v>610</v>
      </c>
      <c r="B567" s="5" t="s">
        <v>611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customFormat="false" ht="12.75" hidden="false" customHeight="false" outlineLevel="0" collapsed="false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612</v>
      </c>
      <c r="J568" s="1" t="s">
        <v>184</v>
      </c>
      <c r="L568" s="1" t="s">
        <v>613</v>
      </c>
    </row>
    <row r="569" customFormat="false" ht="12.75" hidden="false" customHeight="false" outlineLevel="0" collapsed="false">
      <c r="E569" s="1" t="s">
        <v>115</v>
      </c>
      <c r="F569" s="1" t="s">
        <v>89</v>
      </c>
      <c r="G569" s="1" t="s">
        <v>614</v>
      </c>
      <c r="H569" s="11" t="s">
        <v>615</v>
      </c>
    </row>
    <row r="570" customFormat="false" ht="12.75" hidden="false" customHeight="false" outlineLevel="0" collapsed="false">
      <c r="E570" s="1" t="s">
        <v>118</v>
      </c>
      <c r="F570" s="1" t="s">
        <v>21</v>
      </c>
      <c r="G570" s="1" t="s">
        <v>614</v>
      </c>
      <c r="H570" s="11" t="s">
        <v>615</v>
      </c>
    </row>
    <row r="571" customFormat="false" ht="12.75" hidden="false" customHeight="false" outlineLevel="0" collapsed="false">
      <c r="D571" s="1" t="s">
        <v>64</v>
      </c>
      <c r="E571" s="1" t="s">
        <v>616</v>
      </c>
      <c r="F571" s="1" t="s">
        <v>292</v>
      </c>
      <c r="G571" s="1" t="s">
        <v>39</v>
      </c>
      <c r="H571" s="4" t="s">
        <v>40</v>
      </c>
      <c r="I571" s="3" t="str">
        <f aca="false">$B$567</f>
        <v>OMOP Tobacco Smoking Status Observation</v>
      </c>
    </row>
    <row r="572" customFormat="false" ht="24.95" hidden="false" customHeight="false" outlineLevel="0" collapsed="false">
      <c r="B572" s="5" t="s">
        <v>617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customFormat="false" ht="12.75" hidden="false" customHeight="false" outlineLevel="0" collapsed="false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618</v>
      </c>
      <c r="J573" s="1" t="s">
        <v>112</v>
      </c>
      <c r="L573" s="1" t="s">
        <v>619</v>
      </c>
    </row>
    <row r="574" customFormat="false" ht="12.75" hidden="false" customHeight="false" outlineLevel="0" collapsed="false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 aca="false">$B$567</f>
        <v>OMOP Tobacco Smoking Status Observation</v>
      </c>
      <c r="K574" s="1" t="s">
        <v>41</v>
      </c>
    </row>
    <row r="575" customFormat="false" ht="12.75" hidden="false" customHeight="false" outlineLevel="0" collapsed="false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620</v>
      </c>
      <c r="J575" s="1" t="s">
        <v>56</v>
      </c>
      <c r="L575" s="1" t="s">
        <v>621</v>
      </c>
    </row>
    <row r="576" customFormat="false" ht="12.75" hidden="false" customHeight="false" outlineLevel="0" collapsed="false">
      <c r="E576" s="1" t="s">
        <v>363</v>
      </c>
      <c r="F576" s="1" t="s">
        <v>21</v>
      </c>
      <c r="G576" s="1" t="s">
        <v>614</v>
      </c>
      <c r="H576" s="11" t="s">
        <v>622</v>
      </c>
      <c r="K576" s="1" t="s">
        <v>41</v>
      </c>
    </row>
    <row r="577" customFormat="false" ht="24.95" hidden="false" customHeight="false" outlineLevel="0" collapsed="false">
      <c r="A577" s="4" t="s">
        <v>623</v>
      </c>
      <c r="B577" s="5" t="s">
        <v>624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customFormat="false" ht="12.75" hidden="false" customHeight="false" outlineLevel="0" collapsed="false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625</v>
      </c>
      <c r="J578" s="1" t="s">
        <v>112</v>
      </c>
      <c r="L578" s="1" t="s">
        <v>626</v>
      </c>
    </row>
    <row r="579" customFormat="false" ht="12.75" hidden="false" customHeight="false" outlineLevel="0" collapsed="false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616</v>
      </c>
    </row>
    <row r="580" customFormat="false" ht="12.75" hidden="false" customHeight="false" outlineLevel="0" collapsed="false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620</v>
      </c>
      <c r="J580" s="1" t="s">
        <v>56</v>
      </c>
      <c r="L580" s="1" t="s">
        <v>621</v>
      </c>
    </row>
    <row r="581" customFormat="false" ht="12.75" hidden="false" customHeight="false" outlineLevel="0" collapsed="false">
      <c r="E581" s="1" t="s">
        <v>115</v>
      </c>
      <c r="F581" s="1" t="s">
        <v>279</v>
      </c>
      <c r="G581" s="1" t="s">
        <v>614</v>
      </c>
      <c r="H581" s="11" t="s">
        <v>627</v>
      </c>
    </row>
    <row r="582" customFormat="false" ht="12.75" hidden="false" customHeight="false" outlineLevel="0" collapsed="false">
      <c r="E582" s="1" t="s">
        <v>118</v>
      </c>
      <c r="F582" s="1" t="s">
        <v>283</v>
      </c>
      <c r="G582" s="1" t="s">
        <v>17</v>
      </c>
      <c r="H582" s="4" t="s">
        <v>17</v>
      </c>
    </row>
    <row r="583" customFormat="false" ht="12.75" hidden="false" customHeight="false" outlineLevel="0" collapsed="false">
      <c r="A583" s="4" t="s">
        <v>628</v>
      </c>
      <c r="B583" s="5" t="s">
        <v>629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customFormat="false" ht="12.75" hidden="false" customHeight="false" outlineLevel="0" collapsed="false">
      <c r="E584" s="1" t="s">
        <v>140</v>
      </c>
      <c r="F584" s="1" t="s">
        <v>141</v>
      </c>
      <c r="G584" s="1" t="s">
        <v>630</v>
      </c>
      <c r="H584" s="11" t="s">
        <v>631</v>
      </c>
      <c r="J584" s="1" t="s">
        <v>143</v>
      </c>
      <c r="K584" s="1" t="s">
        <v>92</v>
      </c>
    </row>
    <row r="585" customFormat="false" ht="12.75" hidden="false" customHeight="false" outlineLevel="0" collapsed="false">
      <c r="E585" s="1" t="s">
        <v>145</v>
      </c>
      <c r="F585" s="1" t="s">
        <v>21</v>
      </c>
      <c r="G585" s="1" t="s">
        <v>630</v>
      </c>
      <c r="H585" s="11" t="s">
        <v>631</v>
      </c>
    </row>
    <row r="586" customFormat="false" ht="12.75" hidden="false" customHeight="false" outlineLevel="0" collapsed="false">
      <c r="E586" s="1" t="s">
        <v>147</v>
      </c>
      <c r="F586" s="1" t="s">
        <v>632</v>
      </c>
      <c r="G586" s="1" t="s">
        <v>630</v>
      </c>
      <c r="H586" s="11" t="s">
        <v>633</v>
      </c>
      <c r="K586" s="1" t="s">
        <v>125</v>
      </c>
    </row>
    <row r="587" customFormat="false" ht="12.75" hidden="false" customHeight="false" outlineLevel="0" collapsed="false">
      <c r="E587" s="1" t="s">
        <v>149</v>
      </c>
      <c r="F587" s="1" t="s">
        <v>89</v>
      </c>
      <c r="G587" s="1" t="s">
        <v>630</v>
      </c>
      <c r="H587" s="11" t="s">
        <v>634</v>
      </c>
    </row>
    <row r="588" customFormat="false" ht="12.75" hidden="false" customHeight="false" outlineLevel="0" collapsed="false">
      <c r="E588" s="1" t="s">
        <v>635</v>
      </c>
      <c r="F588" s="1" t="s">
        <v>21</v>
      </c>
      <c r="G588" s="1" t="s">
        <v>630</v>
      </c>
      <c r="H588" s="11" t="s">
        <v>634</v>
      </c>
    </row>
    <row r="589" customFormat="false" ht="24.95" hidden="false" customHeight="false" outlineLevel="0" collapsed="false">
      <c r="B589" s="5" t="s">
        <v>636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customFormat="false" ht="12.75" hidden="false" customHeight="false" outlineLevel="0" collapsed="false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customFormat="false" ht="12.75" hidden="false" customHeight="false" outlineLevel="0" collapsed="false">
      <c r="E591" s="1" t="s">
        <v>43</v>
      </c>
      <c r="F591" s="1" t="s">
        <v>38</v>
      </c>
      <c r="G591" s="1" t="s">
        <v>630</v>
      </c>
      <c r="H591" s="4" t="s">
        <v>628</v>
      </c>
      <c r="I591" s="3" t="str">
        <f aca="false">$B$583</f>
        <v>OMOP Comorbidity Condition</v>
      </c>
    </row>
    <row r="592" customFormat="false" ht="12.75" hidden="false" customHeight="false" outlineLevel="0" collapsed="false">
      <c r="E592" s="1" t="s">
        <v>53</v>
      </c>
      <c r="F592" s="1" t="s">
        <v>16</v>
      </c>
      <c r="G592" s="1" t="s">
        <v>17</v>
      </c>
      <c r="H592" s="4" t="s">
        <v>17</v>
      </c>
      <c r="I592" s="3" t="n">
        <v>1147127</v>
      </c>
      <c r="J592" s="1" t="s">
        <v>56</v>
      </c>
    </row>
    <row r="593" customFormat="false" ht="12.75" hidden="false" customHeight="false" outlineLevel="0" collapsed="false">
      <c r="E593" s="1" t="s">
        <v>115</v>
      </c>
      <c r="F593" s="1" t="s">
        <v>89</v>
      </c>
      <c r="G593" s="1" t="s">
        <v>630</v>
      </c>
      <c r="H593" s="11" t="s">
        <v>637</v>
      </c>
    </row>
    <row r="594" customFormat="false" ht="12.75" hidden="false" customHeight="false" outlineLevel="0" collapsed="false">
      <c r="E594" s="1" t="s">
        <v>118</v>
      </c>
      <c r="F594" s="1" t="s">
        <v>21</v>
      </c>
      <c r="G594" s="1" t="s">
        <v>630</v>
      </c>
      <c r="H594" s="11" t="s">
        <v>637</v>
      </c>
    </row>
    <row r="595" customFormat="false" ht="24.95" hidden="false" customHeight="false" outlineLevel="0" collapsed="false">
      <c r="B595" s="5" t="s">
        <v>638</v>
      </c>
      <c r="C595" s="1" t="s">
        <v>639</v>
      </c>
      <c r="G595" s="23" t="s">
        <v>630</v>
      </c>
      <c r="H595" s="15" t="s">
        <v>640</v>
      </c>
    </row>
    <row r="596" customFormat="false" ht="12.75" hidden="false" customHeight="false" outlineLevel="0" collapsed="false">
      <c r="G596" s="23" t="s">
        <v>630</v>
      </c>
      <c r="H596" s="12" t="s">
        <v>641</v>
      </c>
    </row>
    <row r="597" customFormat="false" ht="12.75" hidden="false" customHeight="false" outlineLevel="0" collapsed="false">
      <c r="H597" s="11"/>
    </row>
    <row r="598" customFormat="false" ht="12.75" hidden="false" customHeight="false" outlineLevel="0" collapsed="false">
      <c r="H598" s="11"/>
    </row>
    <row r="601" customFormat="false" ht="24.95" hidden="false" customHeight="false" outlineLevel="0" collapsed="false">
      <c r="B601" s="5" t="s">
        <v>642</v>
      </c>
      <c r="G601" s="23" t="s">
        <v>643</v>
      </c>
      <c r="H601" s="12" t="s">
        <v>46</v>
      </c>
    </row>
    <row r="602" customFormat="false" ht="12.75" hidden="false" customHeight="false" outlineLevel="0" collapsed="false">
      <c r="G602" s="23" t="s">
        <v>643</v>
      </c>
      <c r="H602" s="12" t="s">
        <v>644</v>
      </c>
    </row>
    <row r="603" customFormat="false" ht="12.75" hidden="false" customHeight="false" outlineLevel="0" collapsed="false">
      <c r="G603" s="23" t="s">
        <v>643</v>
      </c>
      <c r="H603" s="12" t="s">
        <v>645</v>
      </c>
    </row>
    <row r="604" customFormat="false" ht="12.75" hidden="false" customHeight="false" outlineLevel="0" collapsed="false">
      <c r="G604" s="23" t="s">
        <v>643</v>
      </c>
      <c r="H604" s="12" t="s">
        <v>646</v>
      </c>
    </row>
    <row r="605" customFormat="false" ht="12.75" hidden="false" customHeight="false" outlineLevel="0" collapsed="false">
      <c r="G605" s="23" t="s">
        <v>643</v>
      </c>
      <c r="H605" s="12" t="s">
        <v>647</v>
      </c>
    </row>
    <row r="606" customFormat="false" ht="12.75" hidden="false" customHeight="false" outlineLevel="0" collapsed="false">
      <c r="G606" s="23" t="s">
        <v>643</v>
      </c>
      <c r="H606" s="12" t="s">
        <v>648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2026-02-25T11:07:48Z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